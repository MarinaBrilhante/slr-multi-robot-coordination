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na Brilhante\Documents\"/>
    </mc:Choice>
  </mc:AlternateContent>
  <xr:revisionPtr revIDLastSave="0" documentId="8_{527B3111-584F-4E51-A72B-E4D8BAA93458}" xr6:coauthVersionLast="47" xr6:coauthVersionMax="47" xr10:uidLastSave="{00000000-0000-0000-0000-000000000000}"/>
  <bookViews>
    <workbookView xWindow="-120" yWindow="-120" windowWidth="20730" windowHeight="11160" xr2:uid="{73F0EC9D-725E-42AB-81A2-EF837F0A67A3}"/>
  </bookViews>
  <sheets>
    <sheet name="Sheet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M2" i="1"/>
  <c r="L3" i="1"/>
  <c r="N3" i="1" s="1"/>
  <c r="M3" i="1"/>
  <c r="L4" i="1"/>
  <c r="N4" i="1" s="1"/>
  <c r="M4" i="1"/>
  <c r="L5" i="1"/>
  <c r="N5" i="1" s="1"/>
  <c r="M5" i="1"/>
  <c r="L6" i="1"/>
  <c r="N6" i="1" s="1"/>
  <c r="M6" i="1"/>
  <c r="L7" i="1"/>
  <c r="M7" i="1"/>
  <c r="N7" i="1"/>
  <c r="L8" i="1"/>
  <c r="M8" i="1"/>
  <c r="N8" i="1"/>
  <c r="L9" i="1"/>
  <c r="N9" i="1" s="1"/>
  <c r="M9" i="1"/>
  <c r="L10" i="1"/>
  <c r="N10" i="1" s="1"/>
  <c r="M10" i="1"/>
  <c r="L11" i="1"/>
  <c r="M11" i="1"/>
  <c r="N11" i="1"/>
  <c r="L12" i="1"/>
  <c r="M12" i="1"/>
  <c r="N12" i="1"/>
  <c r="L13" i="1"/>
  <c r="N13" i="1" s="1"/>
  <c r="M13" i="1"/>
  <c r="L14" i="1"/>
  <c r="N14" i="1" s="1"/>
  <c r="M14" i="1"/>
  <c r="L15" i="1"/>
  <c r="M15" i="1"/>
  <c r="N15" i="1"/>
  <c r="L16" i="1"/>
  <c r="M16" i="1"/>
  <c r="N16" i="1"/>
  <c r="L17" i="1"/>
  <c r="N17" i="1" s="1"/>
  <c r="M17" i="1"/>
  <c r="L18" i="1"/>
  <c r="N18" i="1" s="1"/>
  <c r="M18" i="1"/>
  <c r="L19" i="1"/>
  <c r="M19" i="1"/>
  <c r="N19" i="1"/>
  <c r="L20" i="1"/>
  <c r="M20" i="1"/>
  <c r="N20" i="1"/>
  <c r="L21" i="1"/>
  <c r="N21" i="1" s="1"/>
  <c r="M21" i="1"/>
  <c r="L22" i="1"/>
  <c r="N22" i="1" s="1"/>
  <c r="M22" i="1"/>
  <c r="L23" i="1"/>
  <c r="M23" i="1"/>
  <c r="N23" i="1"/>
  <c r="L24" i="1"/>
  <c r="M24" i="1"/>
  <c r="N24" i="1"/>
  <c r="L25" i="1"/>
  <c r="N25" i="1" s="1"/>
  <c r="M25" i="1"/>
  <c r="L26" i="1"/>
  <c r="N26" i="1" s="1"/>
  <c r="M26" i="1"/>
  <c r="L27" i="1"/>
  <c r="M27" i="1"/>
  <c r="N27" i="1"/>
  <c r="L28" i="1"/>
  <c r="M28" i="1"/>
  <c r="N28" i="1"/>
  <c r="L29" i="1"/>
  <c r="N29" i="1" s="1"/>
  <c r="M29" i="1"/>
  <c r="L30" i="1"/>
  <c r="N30" i="1" s="1"/>
  <c r="M30" i="1"/>
  <c r="L31" i="1"/>
  <c r="M31" i="1"/>
  <c r="N31" i="1"/>
  <c r="L32" i="1"/>
  <c r="M32" i="1"/>
  <c r="N32" i="1"/>
  <c r="L33" i="1"/>
  <c r="N33" i="1" s="1"/>
  <c r="M33" i="1"/>
  <c r="L34" i="1"/>
  <c r="N34" i="1" s="1"/>
  <c r="M34" i="1"/>
  <c r="L35" i="1"/>
  <c r="M35" i="1"/>
  <c r="N35" i="1"/>
  <c r="L36" i="1"/>
  <c r="M36" i="1"/>
  <c r="N36" i="1"/>
  <c r="L37" i="1"/>
  <c r="N37" i="1" s="1"/>
  <c r="M37" i="1"/>
  <c r="L38" i="1"/>
  <c r="N38" i="1" s="1"/>
  <c r="M38" i="1"/>
  <c r="L39" i="1"/>
  <c r="M39" i="1"/>
  <c r="N39" i="1"/>
  <c r="L40" i="1"/>
  <c r="M40" i="1"/>
  <c r="N40" i="1"/>
  <c r="L41" i="1"/>
  <c r="N41" i="1" s="1"/>
  <c r="M41" i="1"/>
  <c r="L42" i="1"/>
  <c r="N42" i="1" s="1"/>
  <c r="M42" i="1"/>
  <c r="L43" i="1"/>
  <c r="M43" i="1"/>
  <c r="N43" i="1"/>
  <c r="L44" i="1"/>
  <c r="M44" i="1"/>
  <c r="N44" i="1"/>
  <c r="L45" i="1"/>
  <c r="N45" i="1" s="1"/>
  <c r="M45" i="1"/>
  <c r="L46" i="1"/>
  <c r="N46" i="1" s="1"/>
  <c r="M46" i="1"/>
  <c r="L47" i="1"/>
  <c r="M47" i="1"/>
  <c r="N47" i="1"/>
  <c r="L48" i="1"/>
  <c r="M48" i="1"/>
  <c r="N48" i="1"/>
  <c r="L49" i="1"/>
  <c r="N49" i="1" s="1"/>
  <c r="M49" i="1"/>
  <c r="L50" i="1"/>
  <c r="N50" i="1" s="1"/>
  <c r="M50" i="1"/>
  <c r="L51" i="1"/>
  <c r="M51" i="1"/>
  <c r="N51" i="1"/>
  <c r="L52" i="1"/>
  <c r="M52" i="1"/>
  <c r="N52" i="1"/>
  <c r="L53" i="1"/>
  <c r="N53" i="1" s="1"/>
  <c r="M53" i="1"/>
  <c r="L54" i="1"/>
  <c r="N54" i="1" s="1"/>
  <c r="M54" i="1"/>
  <c r="L55" i="1"/>
  <c r="M55" i="1"/>
  <c r="N55" i="1"/>
  <c r="L56" i="1"/>
  <c r="M56" i="1"/>
  <c r="N56" i="1"/>
  <c r="L57" i="1"/>
  <c r="N57" i="1" s="1"/>
  <c r="M57" i="1"/>
  <c r="L58" i="1"/>
  <c r="N58" i="1" s="1"/>
  <c r="M58" i="1"/>
  <c r="L59" i="1"/>
  <c r="M59" i="1"/>
  <c r="N59" i="1"/>
  <c r="L60" i="1"/>
  <c r="M60" i="1"/>
  <c r="N60" i="1"/>
  <c r="L61" i="1"/>
  <c r="N61" i="1" s="1"/>
  <c r="M61" i="1"/>
  <c r="L62" i="1"/>
  <c r="N62" i="1" s="1"/>
  <c r="M62" i="1"/>
  <c r="L63" i="1"/>
  <c r="M63" i="1"/>
  <c r="N63" i="1"/>
  <c r="L64" i="1"/>
  <c r="M64" i="1"/>
  <c r="N64" i="1"/>
  <c r="L65" i="1"/>
  <c r="N65" i="1" s="1"/>
  <c r="M65" i="1"/>
  <c r="L66" i="1"/>
  <c r="N66" i="1" s="1"/>
  <c r="M66" i="1"/>
  <c r="L67" i="1"/>
  <c r="M67" i="1"/>
  <c r="N67" i="1"/>
  <c r="L68" i="1"/>
  <c r="M68" i="1"/>
  <c r="N68" i="1"/>
  <c r="L69" i="1"/>
  <c r="N69" i="1" s="1"/>
  <c r="M69" i="1"/>
  <c r="L70" i="1"/>
  <c r="N70" i="1" s="1"/>
  <c r="M70" i="1"/>
  <c r="L71" i="1"/>
  <c r="M71" i="1"/>
  <c r="N71" i="1"/>
  <c r="L72" i="1"/>
  <c r="M72" i="1"/>
  <c r="N72" i="1"/>
  <c r="L73" i="1"/>
  <c r="N73" i="1" s="1"/>
  <c r="M73" i="1"/>
  <c r="L74" i="1"/>
  <c r="N74" i="1" s="1"/>
  <c r="M74" i="1"/>
  <c r="L75" i="1"/>
  <c r="M75" i="1"/>
  <c r="N75" i="1"/>
  <c r="L76" i="1"/>
  <c r="M76" i="1"/>
  <c r="N76" i="1"/>
  <c r="L77" i="1"/>
  <c r="N77" i="1" s="1"/>
  <c r="M77" i="1"/>
  <c r="L78" i="1"/>
  <c r="N78" i="1" s="1"/>
  <c r="M78" i="1"/>
  <c r="L79" i="1"/>
  <c r="M79" i="1"/>
  <c r="N79" i="1"/>
  <c r="L80" i="1"/>
  <c r="M80" i="1"/>
  <c r="N80" i="1"/>
  <c r="L81" i="1"/>
  <c r="N81" i="1" s="1"/>
  <c r="M81" i="1"/>
  <c r="L82" i="1"/>
  <c r="N82" i="1" s="1"/>
  <c r="M82" i="1"/>
  <c r="L83" i="1"/>
  <c r="M83" i="1"/>
  <c r="N83" i="1"/>
  <c r="L84" i="1"/>
  <c r="M84" i="1"/>
  <c r="N84" i="1"/>
  <c r="L85" i="1"/>
  <c r="N85" i="1" s="1"/>
  <c r="M85" i="1"/>
  <c r="L86" i="1"/>
  <c r="N86" i="1" s="1"/>
  <c r="M86" i="1"/>
  <c r="L87" i="1"/>
  <c r="M87" i="1"/>
  <c r="N87" i="1"/>
  <c r="L88" i="1"/>
  <c r="M88" i="1"/>
  <c r="N88" i="1"/>
  <c r="L89" i="1"/>
  <c r="N89" i="1" s="1"/>
  <c r="M89" i="1"/>
  <c r="L90" i="1"/>
  <c r="N90" i="1" s="1"/>
  <c r="M90" i="1"/>
  <c r="L91" i="1"/>
  <c r="M91" i="1"/>
  <c r="N91" i="1"/>
  <c r="L92" i="1"/>
  <c r="M92" i="1"/>
  <c r="N92" i="1"/>
  <c r="L93" i="1"/>
  <c r="N93" i="1" s="1"/>
  <c r="M93" i="1"/>
  <c r="L94" i="1"/>
  <c r="N94" i="1" s="1"/>
  <c r="M94" i="1"/>
</calcChain>
</file>

<file path=xl/sharedStrings.xml><?xml version="1.0" encoding="utf-8"?>
<sst xmlns="http://schemas.openxmlformats.org/spreadsheetml/2006/main" count="107" uniqueCount="107">
  <si>
    <t>Why interoperability is critical to the warehouse of the future</t>
  </si>
  <si>
    <t>Validation of a time based routing algorithm using a realistic 
automatic warehouse scenario</t>
  </si>
  <si>
    <t>Trajectory Prediction of Moving Workers for Autonomous Mobile 
Robots on the Shop Floor</t>
  </si>
  <si>
    <t>Traffic Management of Multi-AGV Systems by Improved Dynamic Resource Reservation</t>
  </si>
  <si>
    <t>The Development of Fleet Management System for Mobile 
Robots Delivering Medicine in Healthcare Environments</t>
  </si>
  <si>
    <t>Sorting Space Configuration Comparison for the Multi-Agent 
Robotic Sorting System</t>
  </si>
  <si>
    <t>Smart mobile robot fleet management based on hierarchical 
multi-agent deep Q network towards intelligent manufacturing</t>
  </si>
  <si>
    <t>Smart Fleet Solutions: Simulating Electric AGV Performance in 
Industrial Settings</t>
  </si>
  <si>
    <t>Simultaneous auctions for "rendez-vous" coordination phases in multi-robot multi-task mission</t>
  </si>
  <si>
    <t>Scalable and heterogenous mobile robot fleet-based task 
automation in crowded hospital environments—a field test</t>
  </si>
  <si>
    <t>Safe Human-Robot-Interaction in Highly Flexible Warehouses using Augmented Reality and Heterogenous Fleet Management System</t>
  </si>
  <si>
    <t>Route Selection in Mixed-Fleet Warehouses</t>
  </si>
  <si>
    <t>Robofleet: Open Source Communication and Management for 
Fleets of Autonomous Robots</t>
  </si>
  <si>
    <t>Resource management in decentralized industrial Automated 
Guided Vehicle systems</t>
  </si>
  <si>
    <t>Real-Time Fastest Path Algorithm using Bidirectional Point-to-Point Search on a Fuzzy Time-Dependent Transportation Network</t>
  </si>
  <si>
    <t>Queue Formation and Obstacle Avoidance Navigation Strategy 
for Multi-Robot Systems Based on Deep Reinforcement Learning</t>
  </si>
  <si>
    <t>Priority-Based Distributed Coordination for Heterogeneous Multi-Robot Systems With Realistic Assumptions</t>
  </si>
  <si>
    <t>Predicting Conflict Zones on Terrestrial Routes of Automated 
Guided Vehicles with Fuzzy Querying on Apache Kafka</t>
  </si>
  <si>
    <t>Planning the tasks of an autonomous mobile robot fleet
for internal logistics of production systems</t>
  </si>
  <si>
    <t>Path Planning and scheduling for a fleet of autonomous vehicles</t>
  </si>
  <si>
    <t>Operating a Large Fleet of Mobile Robots using the Plan-Merging 
Paradigm</t>
  </si>
  <si>
    <t>Open interfaces for connecting automated guided vehicles to a 
fleet management system</t>
  </si>
  <si>
    <t>Online Conflict-Free Scheduling of Fleets of Autonomous Mobile Robots</t>
  </si>
  <si>
    <t>On Troubleshooting in AGV-based Autonomous Systems</t>
  </si>
  <si>
    <t>On Null Space-Based Inverse Kinematics Techniques for Fleet 
Management: Toward Time-Varying Task Activation</t>
  </si>
  <si>
    <t>Multi-Robot Task Allocation for Real-Time Hospital Logistics</t>
  </si>
  <si>
    <t>Multi-Robot Task Allocation and Scheduling Considering 
Cooperative Tasks and Precedence Constraints</t>
  </si>
  <si>
    <t>Multi-Robot Path Planning with Maintenance of Generalized Connectivity</t>
  </si>
  <si>
    <t>Multi-Robot Cooperation in the MARTHA Project</t>
  </si>
  <si>
    <t>Multiple robots avoid humans to get the jobs done: An approach 
to human-aware task allocation</t>
  </si>
  <si>
    <t>Multi-Agent Routing Value Iteration Network</t>
  </si>
  <si>
    <t>Motion Planning and Goal Assignment for Robot Fleets Using
Trajectory Optimization</t>
  </si>
  <si>
    <t>Mitigating Emergency Stop Collisions in AGV Fleets in Case of 
Control Failure</t>
  </si>
  <si>
    <t>Methodology for a Gradual Migration from a Centralized towards 
a Decentralized Control in AGV Systems</t>
  </si>
  <si>
    <t>MAPFASTER: A Faster and Simpler take on Multi-Agent Path 
Finding Algorithm Selection</t>
  </si>
  <si>
    <t>Layered-Cost-Map-Based Traffic Management for Multiple AMRs via a DDS</t>
  </si>
  <si>
    <t>Integrating Mission and Task Planning in an Industrial Robotics 
Framework</t>
  </si>
  <si>
    <t>Integrating collision avoidance strategies into multi-robot task 
allocation for inspection</t>
  </si>
  <si>
    <t>Integrated Motion Planning and Coordination for Industrial 
Vehicles</t>
  </si>
  <si>
    <t>Highly-scalable traffic management of autonomous industrial 
transportation systems</t>
  </si>
  <si>
    <t>Hierarchical Traffic Management of Multi-AGV Systems With 
Deadlock Prevention Applied to Industrial Environments</t>
  </si>
  <si>
    <t>Hierarchical Multi-Robot Fleet Architecture with a Kinematics-
adaptive Drive System</t>
  </si>
  <si>
    <t>Hierarchical and Flexible Traffic Management of Multi-AGV 
Systems Applied to Industrial Environments</t>
  </si>
  <si>
    <t>Health-aware fault-tolerant control of multiple cooperating autonoumous vehicles</t>
  </si>
  <si>
    <t>Group-Based Distributed Auction Algorithms for Multi-Robot 
Task Assignment</t>
  </si>
  <si>
    <t>Fleet management system for mobile robots in healthcare environments</t>
  </si>
  <si>
    <t>Fleet Management System for Autonomous Mobile Robots in 
Secure Shop-floor Environments</t>
  </si>
  <si>
    <t>Fleet Management System for an Industry Environment</t>
  </si>
  <si>
    <t>Federated Discrete Reinforcement Learning for Automatic 
Guided Vehicle Control</t>
  </si>
  <si>
    <t>Fault Diagnosis and Identification in AGVs System</t>
  </si>
  <si>
    <t>Extending a Refinement Acting Engine for Fleet Management: 
Concurrency and Resources</t>
  </si>
  <si>
    <t>Entropy-based coordination for maintenance tasks of an 
autonomous mobile robot system</t>
  </si>
  <si>
    <t>Ensemble Coordination Approach in Multi-AGV Systems Applied to Industrial Warehouses</t>
  </si>
  <si>
    <t>Energy Efficient Multi-Robot Task Allocation Constrained by Time Window and Precedence</t>
  </si>
  <si>
    <t>Efficient Task Allocation in Smart Warehouses with Multi-
Delivery Stations and Heterogeneous Robots</t>
  </si>
  <si>
    <t>Efficient multi-robot path planning in real environments: a 
centralized coordination system</t>
  </si>
  <si>
    <t>Efficient Multi-Robot Cooperative Transportation Scheduling 
System</t>
  </si>
  <si>
    <t>DTA-HMR-TT: Dynamic Task Allocation for a Heterogeneous Team of Mobile Robots with Task Transfer</t>
  </si>
  <si>
    <t>Distributed Fuzzy Semi-Infinite Auction Based Optimization for 
Cooperative Robots Tasks Allocation</t>
  </si>
  <si>
    <t>Distributed Fleet Management in Noisy Environments via Model-Predictive Control</t>
  </si>
  <si>
    <t>Development of a Fleet Management System for Multiple 
Robots’ Task Allocation Using Deep Reinforcement Learning</t>
  </si>
  <si>
    <t>Designing Heterogeneous Robot Fleets for Task Allocation and Sequencing</t>
  </si>
  <si>
    <t>Demo: Model of Distributed Sorting System with Robotic Agents</t>
  </si>
  <si>
    <t>Decentralized Receding Horizon Motion Planner for Multi-robot 
with Risk Management</t>
  </si>
  <si>
    <t>Decentralized Market-Based Task Allocation Algorithm for a Fleet of Industrial Mobile Robots</t>
  </si>
  <si>
    <t>Decentralized Deadlock Prevention for Self-Organizing Industrial Mobile Robot Fleets</t>
  </si>
  <si>
    <t>Decentralized and prioritized algorithm for AGV fleet 
management</t>
  </si>
  <si>
    <t>Decentral task allocation for industrial AGV-systems with 
resource constraints</t>
  </si>
  <si>
    <t>Deadlock avoidance algorithm for AGVs on a tessellated layout</t>
  </si>
  <si>
    <t>Cooperative Guidance of Lego Mindstorms NXT Mobile Robots</t>
  </si>
  <si>
    <t>Control of heterogenous AMHS in semiconductor industry under consideration of dynamic transport carrier transfers</t>
  </si>
  <si>
    <t>Conflict-Based Task and Motion Planning for Multi-Robot, Multi-
Goal Problems</t>
  </si>
  <si>
    <t>Collision-free allocation of temporally constrained tasks in 
multi-robot systems</t>
  </si>
  <si>
    <t>Centralized versus Distributed Nonlinear Model Predictive Control for Online Robot Fleet Trajectory Planning</t>
  </si>
  <si>
    <t>Centralized Robotic Fleet Coordination and Control</t>
  </si>
  <si>
    <t>Autonomous transport vehicles: Where we are and what is 
missing</t>
  </si>
  <si>
    <t>Anytime Lifelong Multi-Agent Pathfinding in Topological Maps</t>
  </si>
  <si>
    <t>An Integrated Timetable Optimization and Automatic Guided 
Vehicle Dispatching Method in Smart Manufacturing</t>
  </si>
  <si>
    <t>An Incremental Planning Strategy-Based Genetic Algorithm for Integrated Scheduling and Routing Optimization in Smart Manufacturing</t>
  </si>
  <si>
    <t>An Extension of BIM Using AI: A Multi Working-Machines 
Pathfinding Solution</t>
  </si>
  <si>
    <t>An End-to-End Deep Reinforcement Learning Based Modular 
Task Allocation Framework for Autonomous Mobile Systems</t>
  </si>
  <si>
    <t>An Autonomous Mobile Robot Navigation Architecture for Dynamic Intralogistics</t>
  </si>
  <si>
    <t>An Approach Towards Automated Navigation of Vehicles using 
Overhead Cameras</t>
  </si>
  <si>
    <t>AGV Traffic Management in Automated Industrial Plants: An 
Enhanced Lifelong Multi-Agent Path Finding Approach</t>
  </si>
  <si>
    <t>Abnormal Automated Guided Vehicles Detection for Fleet Management Systems: A Reputation-based Distributed Velocity 
Estimation Approach</t>
  </si>
  <si>
    <t>A Rules and Communication Based Multiple Robots Transportation System</t>
  </si>
  <si>
    <t>A Routing and Task-Allocation Algorithm for Robotic Groups in 
Warehouse Environments</t>
  </si>
  <si>
    <t>A probabilistic Eulerian traffic model for the coordination of 
multiple AGVs in automatic warehouses</t>
  </si>
  <si>
    <t>A preliminary study about multi-robot task allocation with energy constraints</t>
  </si>
  <si>
    <t>A multi-agent system using fuzzy logic to increase AGV fleet 
performance in warehouses</t>
  </si>
  <si>
    <t>A Hierarchical Approach for Joint Task Allocation and Path 
Planning</t>
  </si>
  <si>
    <t>A Dynamic Routing Strategy for the Trafﬁc Control of AGVs in
Automatic Warehouses</t>
  </si>
  <si>
    <t>A Centralized Task Allocation Algorithm for a Multi-Robot 
Inspection Mission with Sensing Specifications</t>
  </si>
  <si>
    <t>Normalized (%)</t>
  </si>
  <si>
    <t>Applicable Items</t>
  </si>
  <si>
    <t>Raw Score</t>
  </si>
  <si>
    <t>Q10</t>
  </si>
  <si>
    <t>Q9</t>
  </si>
  <si>
    <t>Q8</t>
  </si>
  <si>
    <t>Q7</t>
  </si>
  <si>
    <t>Q6</t>
  </si>
  <si>
    <t>Q5</t>
  </si>
  <si>
    <t>Q4</t>
  </si>
  <si>
    <t>Q3</t>
  </si>
  <si>
    <t>Q2</t>
  </si>
  <si>
    <t>Q1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</si>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</sst>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809D9-1C6E-43F4-91DA-B16C921CB9A9}" name="Table24" displayName="Table24" ref="A1:N94" totalsRowShown="0" headerRowDxfId="17" dataDxfId="16" headerRowBorderDxfId="14" tableBorderDxfId="15">
  <autoFilter ref="A1:N94" xr:uid="{548C9C25-BA04-4186-A34E-FCE31DE09893}"/>
  <tableColumns count="14">
    <tableColumn id="1" xr3:uid="{DCD6B643-C633-418D-9681-123E2AFE51DC}" name="Article" dataDxfId="13"/>
    <tableColumn id="2" xr3:uid="{74892C3F-5DAD-4717-955E-162F73EBADBE}" name="Q1" dataDxfId="12"/>
    <tableColumn id="3" xr3:uid="{866AA527-3BEB-4134-9957-487725A19100}" name="Q2" dataDxfId="11"/>
    <tableColumn id="4" xr3:uid="{9FC25082-6290-4D53-8982-DE57F7DB8E48}" name="Q3" dataDxfId="10"/>
    <tableColumn id="5" xr3:uid="{6A716B1F-B72D-429C-838C-9A086D9939FA}" name="Q4" dataDxfId="9"/>
    <tableColumn id="6" xr3:uid="{2084DE6A-4F49-4184-BA50-A82A63ADE5D5}" name="Q5" dataDxfId="8"/>
    <tableColumn id="7" xr3:uid="{6C8A39D9-4ABE-4411-8F55-58FF8CC1EAF2}" name="Q6" dataDxfId="7"/>
    <tableColumn id="8" xr3:uid="{A264F74C-78CB-4FC3-95E5-DA543C33B79B}" name="Q7" dataDxfId="6"/>
    <tableColumn id="9" xr3:uid="{90227216-CCB0-49D1-BB86-975E4900EC90}" name="Q8" dataDxfId="5"/>
    <tableColumn id="10" xr3:uid="{9DDFA399-CCCD-4592-B846-4A0AB18509AF}" name="Q9" dataDxfId="4"/>
    <tableColumn id="11" xr3:uid="{CBF1B09F-D20B-4FAA-8797-92D5ED4584EA}" name="Q10" dataDxfId="3"/>
    <tableColumn id="12" xr3:uid="{94B6582E-A265-4A6B-892B-46B9EE8CB884}" name="Raw Score" dataDxfId="2">
      <calculatedColumnFormula>SUM(B2:K2)</calculatedColumnFormula>
    </tableColumn>
    <tableColumn id="13" xr3:uid="{0FCF995F-7DA5-4643-AD4F-6D1F1E3763CC}" name="Applicable Items" dataDxfId="1">
      <calculatedColumnFormula>10-COUNTBLANK(B2:K2)</calculatedColumnFormula>
    </tableColumn>
    <tableColumn id="14" xr3:uid="{628DFFC6-743F-4668-B541-85CC5FB5516D}" name="Normalized (%)" dataDxfId="0">
      <calculatedColumnFormula>L2/(M2*2)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07E5-3CB7-4654-905F-847987165EC9}">
  <dimension ref="A1:N94"/>
  <sheetViews>
    <sheetView tabSelected="1" workbookViewId="0"/>
  </sheetViews>
  <sheetFormatPr defaultRowHeight="15" x14ac:dyDescent="0.25"/>
  <cols>
    <col min="1" max="1" width="59" bestFit="1" customWidth="1"/>
    <col min="2" max="11" width="10.7109375" customWidth="1"/>
    <col min="12" max="12" width="14.85546875" bestFit="1" customWidth="1"/>
    <col min="13" max="13" width="20.7109375" bestFit="1" customWidth="1"/>
    <col min="14" max="14" width="19.42578125" bestFit="1" customWidth="1"/>
  </cols>
  <sheetData>
    <row r="1" spans="1:14" ht="15.75" thickBot="1" x14ac:dyDescent="0.3">
      <c r="A1" s="9" t="s">
        <v>106</v>
      </c>
      <c r="B1" s="9" t="s">
        <v>105</v>
      </c>
      <c r="C1" s="9" t="s">
        <v>104</v>
      </c>
      <c r="D1" s="9" t="s">
        <v>103</v>
      </c>
      <c r="E1" s="9" t="s">
        <v>102</v>
      </c>
      <c r="F1" s="9" t="s">
        <v>101</v>
      </c>
      <c r="G1" s="9" t="s">
        <v>100</v>
      </c>
      <c r="H1" s="9" t="s">
        <v>99</v>
      </c>
      <c r="I1" s="9" t="s">
        <v>98</v>
      </c>
      <c r="J1" s="9" t="s">
        <v>97</v>
      </c>
      <c r="K1" s="9" t="s">
        <v>96</v>
      </c>
      <c r="L1" s="9" t="s">
        <v>95</v>
      </c>
      <c r="M1" s="9" t="s">
        <v>94</v>
      </c>
      <c r="N1" s="8" t="s">
        <v>93</v>
      </c>
    </row>
    <row r="2" spans="1:14" ht="30" x14ac:dyDescent="0.25">
      <c r="A2" s="6" t="s">
        <v>92</v>
      </c>
      <c r="B2" s="6">
        <v>1</v>
      </c>
      <c r="C2" s="5">
        <v>1</v>
      </c>
      <c r="D2" s="5"/>
      <c r="E2" s="5">
        <v>2</v>
      </c>
      <c r="F2" s="5"/>
      <c r="G2" s="5"/>
      <c r="H2" s="5"/>
      <c r="I2" s="5">
        <v>1</v>
      </c>
      <c r="J2" s="5">
        <v>2</v>
      </c>
      <c r="K2" s="5">
        <v>1</v>
      </c>
      <c r="L2" s="5">
        <f>SUM(B2:K2)</f>
        <v>8</v>
      </c>
      <c r="M2" s="5">
        <f>10-COUNTBLANK(B2:K2)</f>
        <v>6</v>
      </c>
      <c r="N2" s="4">
        <f>L2/(M2*2)</f>
        <v>0.66666666666666663</v>
      </c>
    </row>
    <row r="3" spans="1:14" ht="30" x14ac:dyDescent="0.25">
      <c r="A3" s="6" t="s">
        <v>91</v>
      </c>
      <c r="B3" s="5">
        <v>2</v>
      </c>
      <c r="C3" s="5">
        <v>1</v>
      </c>
      <c r="D3" s="5">
        <v>1</v>
      </c>
      <c r="E3" s="5"/>
      <c r="F3" s="5">
        <v>2</v>
      </c>
      <c r="G3" s="5"/>
      <c r="H3" s="5">
        <v>1</v>
      </c>
      <c r="I3" s="5">
        <v>2</v>
      </c>
      <c r="J3" s="5">
        <v>2</v>
      </c>
      <c r="K3" s="5">
        <v>2</v>
      </c>
      <c r="L3" s="5">
        <f>SUM(B3:K3)</f>
        <v>13</v>
      </c>
      <c r="M3" s="5">
        <f>10-COUNTBLANK(B3:K3)</f>
        <v>8</v>
      </c>
      <c r="N3" s="4">
        <f>L3/(M3*2)</f>
        <v>0.8125</v>
      </c>
    </row>
    <row r="4" spans="1:14" ht="30" x14ac:dyDescent="0.25">
      <c r="A4" s="6" t="s">
        <v>90</v>
      </c>
      <c r="B4" s="5">
        <v>2</v>
      </c>
      <c r="C4" s="5">
        <v>1</v>
      </c>
      <c r="D4" s="5">
        <v>2</v>
      </c>
      <c r="E4" s="5">
        <v>2</v>
      </c>
      <c r="F4" s="5"/>
      <c r="G4" s="5"/>
      <c r="H4" s="5"/>
      <c r="I4" s="5">
        <v>1</v>
      </c>
      <c r="J4" s="5">
        <v>2</v>
      </c>
      <c r="K4" s="5">
        <v>2</v>
      </c>
      <c r="L4" s="5">
        <f>SUM(B4:K4)</f>
        <v>12</v>
      </c>
      <c r="M4" s="5">
        <f>10-COUNTBLANK(B4:K4)</f>
        <v>7</v>
      </c>
      <c r="N4" s="4">
        <f>L4/(M4*2)</f>
        <v>0.8571428571428571</v>
      </c>
    </row>
    <row r="5" spans="1:14" ht="30" x14ac:dyDescent="0.25">
      <c r="A5" s="6" t="s">
        <v>89</v>
      </c>
      <c r="B5" s="5">
        <v>2</v>
      </c>
      <c r="C5" s="5">
        <v>1</v>
      </c>
      <c r="D5" s="5">
        <v>1</v>
      </c>
      <c r="E5" s="5"/>
      <c r="F5" s="5">
        <v>2</v>
      </c>
      <c r="G5" s="5"/>
      <c r="H5" s="5"/>
      <c r="I5" s="5">
        <v>1</v>
      </c>
      <c r="J5" s="5">
        <v>2</v>
      </c>
      <c r="K5" s="5">
        <v>2</v>
      </c>
      <c r="L5" s="5">
        <f>SUM(B5:K5)</f>
        <v>11</v>
      </c>
      <c r="M5" s="5">
        <f>10-COUNTBLANK(B5:K5)</f>
        <v>7</v>
      </c>
      <c r="N5" s="4">
        <f>L5/(M5*2)</f>
        <v>0.7857142857142857</v>
      </c>
    </row>
    <row r="6" spans="1:14" ht="30" x14ac:dyDescent="0.25">
      <c r="A6" s="6" t="s">
        <v>88</v>
      </c>
      <c r="B6" s="5">
        <v>2</v>
      </c>
      <c r="C6" s="5">
        <v>1</v>
      </c>
      <c r="D6" s="5"/>
      <c r="E6" s="5">
        <v>1</v>
      </c>
      <c r="F6" s="5"/>
      <c r="G6" s="5"/>
      <c r="H6" s="5">
        <v>1</v>
      </c>
      <c r="I6" s="5">
        <v>1</v>
      </c>
      <c r="J6" s="5">
        <v>1</v>
      </c>
      <c r="K6" s="5">
        <v>2</v>
      </c>
      <c r="L6" s="5">
        <f>SUM(B6:K6)</f>
        <v>9</v>
      </c>
      <c r="M6" s="5">
        <f>10-COUNTBLANK(B6:K6)</f>
        <v>7</v>
      </c>
      <c r="N6" s="4">
        <f>L6/(M6*2)</f>
        <v>0.6428571428571429</v>
      </c>
    </row>
    <row r="7" spans="1:14" ht="30" x14ac:dyDescent="0.25">
      <c r="A7" s="6" t="s">
        <v>87</v>
      </c>
      <c r="B7" s="5">
        <v>2</v>
      </c>
      <c r="C7" s="5">
        <v>2</v>
      </c>
      <c r="D7" s="5"/>
      <c r="E7" s="5"/>
      <c r="F7" s="5">
        <v>2</v>
      </c>
      <c r="G7" s="5"/>
      <c r="H7" s="5"/>
      <c r="I7" s="5">
        <v>1</v>
      </c>
      <c r="J7" s="5">
        <v>1</v>
      </c>
      <c r="K7" s="5">
        <v>2</v>
      </c>
      <c r="L7" s="5">
        <f>SUM(B7:K7)</f>
        <v>10</v>
      </c>
      <c r="M7" s="5">
        <f>10-COUNTBLANK(B7:K7)</f>
        <v>6</v>
      </c>
      <c r="N7" s="4">
        <f>L7/(M7*2)</f>
        <v>0.83333333333333337</v>
      </c>
    </row>
    <row r="8" spans="1:14" ht="30" x14ac:dyDescent="0.25">
      <c r="A8" s="6" t="s">
        <v>86</v>
      </c>
      <c r="B8" s="5">
        <v>2</v>
      </c>
      <c r="C8" s="5">
        <v>1</v>
      </c>
      <c r="D8" s="5">
        <v>2</v>
      </c>
      <c r="E8" s="5">
        <v>2</v>
      </c>
      <c r="F8" s="5"/>
      <c r="G8" s="5"/>
      <c r="H8" s="5"/>
      <c r="I8" s="5">
        <v>1</v>
      </c>
      <c r="J8" s="5">
        <v>1</v>
      </c>
      <c r="K8" s="5">
        <v>2</v>
      </c>
      <c r="L8" s="5">
        <f>SUM(B8:K8)</f>
        <v>11</v>
      </c>
      <c r="M8" s="5">
        <f>10-COUNTBLANK(B8:K8)</f>
        <v>7</v>
      </c>
      <c r="N8" s="4">
        <f>L8/(M8*2)</f>
        <v>0.7857142857142857</v>
      </c>
    </row>
    <row r="9" spans="1:14" ht="30" x14ac:dyDescent="0.25">
      <c r="A9" s="6" t="s">
        <v>85</v>
      </c>
      <c r="B9" s="5">
        <v>2</v>
      </c>
      <c r="C9" s="5">
        <v>2</v>
      </c>
      <c r="D9" s="5"/>
      <c r="E9" s="5"/>
      <c r="F9" s="5">
        <v>2</v>
      </c>
      <c r="G9" s="5">
        <v>1</v>
      </c>
      <c r="H9" s="5">
        <v>1</v>
      </c>
      <c r="I9" s="5">
        <v>2</v>
      </c>
      <c r="J9" s="5">
        <v>1</v>
      </c>
      <c r="K9" s="5">
        <v>2</v>
      </c>
      <c r="L9" s="5">
        <f>SUM(B9:K9)</f>
        <v>13</v>
      </c>
      <c r="M9" s="5">
        <f>10-COUNTBLANK(B9:K9)</f>
        <v>8</v>
      </c>
      <c r="N9" s="4">
        <f>L9/(M9*2)</f>
        <v>0.8125</v>
      </c>
    </row>
    <row r="10" spans="1:14" s="1" customFormat="1" ht="45" x14ac:dyDescent="0.25">
      <c r="A10" s="7" t="s">
        <v>84</v>
      </c>
      <c r="B10" s="3">
        <v>2</v>
      </c>
      <c r="C10" s="3">
        <v>0</v>
      </c>
      <c r="D10" s="3"/>
      <c r="E10" s="3"/>
      <c r="F10" s="3"/>
      <c r="G10" s="3">
        <v>1</v>
      </c>
      <c r="H10" s="3"/>
      <c r="I10" s="3">
        <v>1</v>
      </c>
      <c r="J10" s="3">
        <v>1</v>
      </c>
      <c r="K10" s="3">
        <v>1</v>
      </c>
      <c r="L10" s="3">
        <f>SUM(B10:K10)</f>
        <v>6</v>
      </c>
      <c r="M10" s="3">
        <f>10-COUNTBLANK(B10:K10)</f>
        <v>6</v>
      </c>
      <c r="N10" s="2">
        <f>L10/(M10*2)</f>
        <v>0.5</v>
      </c>
    </row>
    <row r="11" spans="1:14" ht="30" x14ac:dyDescent="0.25">
      <c r="A11" s="6" t="s">
        <v>83</v>
      </c>
      <c r="B11" s="5">
        <v>2</v>
      </c>
      <c r="C11" s="5">
        <v>2</v>
      </c>
      <c r="D11" s="5"/>
      <c r="E11" s="5"/>
      <c r="F11" s="5">
        <v>2</v>
      </c>
      <c r="G11" s="5">
        <v>1</v>
      </c>
      <c r="H11" s="5"/>
      <c r="I11" s="5">
        <v>1</v>
      </c>
      <c r="J11" s="5">
        <v>1</v>
      </c>
      <c r="K11" s="5">
        <v>2</v>
      </c>
      <c r="L11" s="5">
        <f>SUM(B11:K11)</f>
        <v>11</v>
      </c>
      <c r="M11" s="5">
        <f>10-COUNTBLANK(B11:K11)</f>
        <v>7</v>
      </c>
      <c r="N11" s="4">
        <f>L11/(M11*2)</f>
        <v>0.7857142857142857</v>
      </c>
    </row>
    <row r="12" spans="1:14" ht="30" x14ac:dyDescent="0.25">
      <c r="A12" s="6" t="s">
        <v>82</v>
      </c>
      <c r="B12" s="5">
        <v>1</v>
      </c>
      <c r="C12" s="5">
        <v>1</v>
      </c>
      <c r="D12" s="5">
        <v>2</v>
      </c>
      <c r="E12" s="5"/>
      <c r="F12" s="5"/>
      <c r="G12" s="5"/>
      <c r="H12" s="5">
        <v>1</v>
      </c>
      <c r="I12" s="5">
        <v>2</v>
      </c>
      <c r="J12" s="5">
        <v>1</v>
      </c>
      <c r="K12" s="5">
        <v>1</v>
      </c>
      <c r="L12" s="5">
        <f>SUM(B12:K12)</f>
        <v>9</v>
      </c>
      <c r="M12" s="5">
        <f>10-COUNTBLANK(B12:K12)</f>
        <v>7</v>
      </c>
      <c r="N12" s="4">
        <f>L12/(M12*2)</f>
        <v>0.6428571428571429</v>
      </c>
    </row>
    <row r="13" spans="1:14" ht="30" x14ac:dyDescent="0.25">
      <c r="A13" s="6" t="s">
        <v>81</v>
      </c>
      <c r="B13" s="5">
        <v>2</v>
      </c>
      <c r="C13" s="5">
        <v>2</v>
      </c>
      <c r="D13" s="5">
        <v>1</v>
      </c>
      <c r="E13" s="5"/>
      <c r="F13" s="5"/>
      <c r="G13" s="5"/>
      <c r="H13" s="5">
        <v>1</v>
      </c>
      <c r="I13" s="5">
        <v>1</v>
      </c>
      <c r="J13" s="5">
        <v>1</v>
      </c>
      <c r="K13" s="5">
        <v>2</v>
      </c>
      <c r="L13" s="5">
        <f>SUM(B13:K13)</f>
        <v>10</v>
      </c>
      <c r="M13" s="5">
        <f>10-COUNTBLANK(B13:K13)</f>
        <v>7</v>
      </c>
      <c r="N13" s="4">
        <f>L13/(M13*2)</f>
        <v>0.7142857142857143</v>
      </c>
    </row>
    <row r="14" spans="1:14" ht="30" x14ac:dyDescent="0.25">
      <c r="A14" s="6" t="s">
        <v>80</v>
      </c>
      <c r="B14" s="5">
        <v>2</v>
      </c>
      <c r="C14" s="5">
        <v>1</v>
      </c>
      <c r="D14" s="5"/>
      <c r="E14" s="5">
        <v>2</v>
      </c>
      <c r="F14" s="5"/>
      <c r="G14" s="5"/>
      <c r="H14" s="5">
        <v>1</v>
      </c>
      <c r="I14" s="5">
        <v>2</v>
      </c>
      <c r="J14" s="5">
        <v>1</v>
      </c>
      <c r="K14" s="5">
        <v>2</v>
      </c>
      <c r="L14" s="5">
        <f>SUM(B14:K14)</f>
        <v>11</v>
      </c>
      <c r="M14" s="5">
        <f>10-COUNTBLANK(B14:K14)</f>
        <v>7</v>
      </c>
      <c r="N14" s="4">
        <f>L14/(M14*2)</f>
        <v>0.7857142857142857</v>
      </c>
    </row>
    <row r="15" spans="1:14" ht="30" x14ac:dyDescent="0.25">
      <c r="A15" s="6" t="s">
        <v>79</v>
      </c>
      <c r="B15" s="5">
        <v>1</v>
      </c>
      <c r="C15" s="5">
        <v>1</v>
      </c>
      <c r="D15" s="5"/>
      <c r="E15" s="5"/>
      <c r="F15" s="5">
        <v>1</v>
      </c>
      <c r="G15" s="5"/>
      <c r="H15" s="5"/>
      <c r="I15" s="5">
        <v>1</v>
      </c>
      <c r="J15" s="5">
        <v>2</v>
      </c>
      <c r="K15" s="5">
        <v>2</v>
      </c>
      <c r="L15" s="5">
        <f>SUM(B15:K15)</f>
        <v>8</v>
      </c>
      <c r="M15" s="5">
        <f>10-COUNTBLANK(B15:K15)</f>
        <v>6</v>
      </c>
      <c r="N15" s="4">
        <f>L15/(M15*2)</f>
        <v>0.66666666666666663</v>
      </c>
    </row>
    <row r="16" spans="1:14" ht="45" x14ac:dyDescent="0.25">
      <c r="A16" s="6" t="s">
        <v>78</v>
      </c>
      <c r="B16" s="5">
        <v>2</v>
      </c>
      <c r="C16" s="5">
        <v>1</v>
      </c>
      <c r="D16" s="5"/>
      <c r="E16" s="5">
        <v>1</v>
      </c>
      <c r="F16" s="5"/>
      <c r="G16" s="5"/>
      <c r="H16" s="5"/>
      <c r="I16" s="5">
        <v>1</v>
      </c>
      <c r="J16" s="5">
        <v>2</v>
      </c>
      <c r="K16" s="5">
        <v>1</v>
      </c>
      <c r="L16" s="5">
        <f>SUM(B16:K16)</f>
        <v>8</v>
      </c>
      <c r="M16" s="5">
        <f>10-COUNTBLANK(B16:K16)</f>
        <v>6</v>
      </c>
      <c r="N16" s="4">
        <f>L16/(M16*2)</f>
        <v>0.66666666666666663</v>
      </c>
    </row>
    <row r="17" spans="1:14" ht="30" x14ac:dyDescent="0.25">
      <c r="A17" s="6" t="s">
        <v>77</v>
      </c>
      <c r="B17" s="5">
        <v>2</v>
      </c>
      <c r="C17" s="5">
        <v>1</v>
      </c>
      <c r="D17" s="5"/>
      <c r="E17" s="5">
        <v>2</v>
      </c>
      <c r="F17" s="5"/>
      <c r="G17" s="5"/>
      <c r="H17" s="5"/>
      <c r="I17" s="5">
        <v>1</v>
      </c>
      <c r="J17" s="5">
        <v>2</v>
      </c>
      <c r="K17" s="5">
        <v>1</v>
      </c>
      <c r="L17" s="5">
        <f>SUM(B17:K17)</f>
        <v>9</v>
      </c>
      <c r="M17" s="5">
        <f>10-COUNTBLANK(B17:K17)</f>
        <v>6</v>
      </c>
      <c r="N17" s="4">
        <f>L17/(M17*2)</f>
        <v>0.75</v>
      </c>
    </row>
    <row r="18" spans="1:14" x14ac:dyDescent="0.25">
      <c r="A18" s="5" t="s">
        <v>76</v>
      </c>
      <c r="B18" s="5">
        <v>2</v>
      </c>
      <c r="C18" s="5">
        <v>2</v>
      </c>
      <c r="D18" s="5">
        <v>1</v>
      </c>
      <c r="E18" s="5"/>
      <c r="F18" s="5">
        <v>2</v>
      </c>
      <c r="G18" s="5">
        <v>2</v>
      </c>
      <c r="H18" s="5"/>
      <c r="I18" s="5">
        <v>1</v>
      </c>
      <c r="J18" s="5">
        <v>2</v>
      </c>
      <c r="K18" s="5">
        <v>2</v>
      </c>
      <c r="L18" s="5">
        <f>SUM(B18:K18)</f>
        <v>14</v>
      </c>
      <c r="M18" s="5">
        <f>10-COUNTBLANK(B18:K18)</f>
        <v>8</v>
      </c>
      <c r="N18" s="4">
        <f>L18/(M18*2)</f>
        <v>0.875</v>
      </c>
    </row>
    <row r="19" spans="1:14" ht="30" x14ac:dyDescent="0.25">
      <c r="A19" s="6" t="s">
        <v>75</v>
      </c>
      <c r="B19" s="5">
        <v>2</v>
      </c>
      <c r="C19" s="5">
        <v>2</v>
      </c>
      <c r="D19" s="5">
        <v>2</v>
      </c>
      <c r="E19" s="5">
        <v>1</v>
      </c>
      <c r="F19" s="5"/>
      <c r="G19" s="5">
        <v>1</v>
      </c>
      <c r="H19" s="5">
        <v>1</v>
      </c>
      <c r="I19" s="5">
        <v>2</v>
      </c>
      <c r="J19" s="5">
        <v>1</v>
      </c>
      <c r="K19" s="5">
        <v>2</v>
      </c>
      <c r="L19" s="5">
        <f>SUM(B19:K19)</f>
        <v>14</v>
      </c>
      <c r="M19" s="5">
        <f>10-COUNTBLANK(B19:K19)</f>
        <v>9</v>
      </c>
      <c r="N19" s="4">
        <f>L19/(M19*2)</f>
        <v>0.77777777777777779</v>
      </c>
    </row>
    <row r="20" spans="1:14" x14ac:dyDescent="0.25">
      <c r="A20" s="5" t="s">
        <v>74</v>
      </c>
      <c r="B20" s="5">
        <v>2</v>
      </c>
      <c r="C20" s="5">
        <v>1</v>
      </c>
      <c r="D20" s="5"/>
      <c r="E20" s="5"/>
      <c r="F20" s="5"/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f>SUM(B20:K20)</f>
        <v>8</v>
      </c>
      <c r="M20" s="5">
        <f>10-COUNTBLANK(B20:K20)</f>
        <v>7</v>
      </c>
      <c r="N20" s="4">
        <f>L20/(M20*2)</f>
        <v>0.5714285714285714</v>
      </c>
    </row>
    <row r="21" spans="1:14" ht="30" x14ac:dyDescent="0.25">
      <c r="A21" s="6" t="s">
        <v>73</v>
      </c>
      <c r="B21" s="5">
        <v>2</v>
      </c>
      <c r="C21" s="5">
        <v>1</v>
      </c>
      <c r="D21" s="5">
        <v>2</v>
      </c>
      <c r="E21" s="5"/>
      <c r="F21" s="5"/>
      <c r="G21" s="5"/>
      <c r="H21" s="5">
        <v>2</v>
      </c>
      <c r="I21" s="5">
        <v>1</v>
      </c>
      <c r="J21" s="5">
        <v>2</v>
      </c>
      <c r="K21" s="5">
        <v>2</v>
      </c>
      <c r="L21" s="5">
        <f>SUM(B21:K21)</f>
        <v>12</v>
      </c>
      <c r="M21" s="5">
        <f>10-COUNTBLANK(B21:K21)</f>
        <v>7</v>
      </c>
      <c r="N21" s="4">
        <f>L21/(M21*2)</f>
        <v>0.8571428571428571</v>
      </c>
    </row>
    <row r="22" spans="1:14" ht="30" x14ac:dyDescent="0.25">
      <c r="A22" s="6" t="s">
        <v>72</v>
      </c>
      <c r="B22" s="5">
        <v>2</v>
      </c>
      <c r="C22" s="5">
        <v>1</v>
      </c>
      <c r="D22" s="5"/>
      <c r="E22" s="5">
        <v>2</v>
      </c>
      <c r="F22" s="5"/>
      <c r="G22" s="5"/>
      <c r="H22" s="5">
        <v>1</v>
      </c>
      <c r="I22" s="5">
        <v>1</v>
      </c>
      <c r="J22" s="5">
        <v>2</v>
      </c>
      <c r="K22" s="5">
        <v>2</v>
      </c>
      <c r="L22" s="5">
        <f>SUM(B22:K22)</f>
        <v>11</v>
      </c>
      <c r="M22" s="5">
        <f>10-COUNTBLANK(B22:K22)</f>
        <v>7</v>
      </c>
      <c r="N22" s="4">
        <f>L22/(M22*2)</f>
        <v>0.7857142857142857</v>
      </c>
    </row>
    <row r="23" spans="1:14" ht="30" x14ac:dyDescent="0.25">
      <c r="A23" s="6" t="s">
        <v>71</v>
      </c>
      <c r="B23" s="5">
        <v>2</v>
      </c>
      <c r="C23" s="5">
        <v>2</v>
      </c>
      <c r="D23" s="5">
        <v>2</v>
      </c>
      <c r="E23" s="5"/>
      <c r="F23" s="5">
        <v>1</v>
      </c>
      <c r="G23" s="5"/>
      <c r="H23" s="5">
        <v>1</v>
      </c>
      <c r="I23" s="5">
        <v>1</v>
      </c>
      <c r="J23" s="5">
        <v>2</v>
      </c>
      <c r="K23" s="5">
        <v>2</v>
      </c>
      <c r="L23" s="5">
        <f>SUM(B23:K23)</f>
        <v>13</v>
      </c>
      <c r="M23" s="5">
        <f>10-COUNTBLANK(B23:K23)</f>
        <v>8</v>
      </c>
      <c r="N23" s="4">
        <f>L23/(M23*2)</f>
        <v>0.8125</v>
      </c>
    </row>
    <row r="24" spans="1:14" ht="30" x14ac:dyDescent="0.25">
      <c r="A24" s="6" t="s">
        <v>70</v>
      </c>
      <c r="B24" s="5">
        <v>1</v>
      </c>
      <c r="C24" s="5">
        <v>1</v>
      </c>
      <c r="D24" s="5"/>
      <c r="E24" s="5">
        <v>1</v>
      </c>
      <c r="F24" s="5"/>
      <c r="G24" s="5"/>
      <c r="H24" s="5"/>
      <c r="I24" s="5">
        <v>1</v>
      </c>
      <c r="J24" s="5">
        <v>1</v>
      </c>
      <c r="K24" s="5">
        <v>1</v>
      </c>
      <c r="L24" s="5">
        <f>SUM(B24:K24)</f>
        <v>6</v>
      </c>
      <c r="M24" s="5">
        <f>10-COUNTBLANK(B24:K24)</f>
        <v>6</v>
      </c>
      <c r="N24" s="4">
        <f>L24/(M24*2)</f>
        <v>0.5</v>
      </c>
    </row>
    <row r="25" spans="1:14" x14ac:dyDescent="0.25">
      <c r="A25" s="5" t="s">
        <v>69</v>
      </c>
      <c r="B25" s="5">
        <v>0</v>
      </c>
      <c r="C25" s="5">
        <v>1</v>
      </c>
      <c r="D25" s="5"/>
      <c r="E25" s="5"/>
      <c r="F25" s="5"/>
      <c r="G25" s="5"/>
      <c r="H25" s="5">
        <v>2</v>
      </c>
      <c r="I25" s="5">
        <v>2</v>
      </c>
      <c r="J25" s="5">
        <v>2</v>
      </c>
      <c r="K25" s="5">
        <v>1</v>
      </c>
      <c r="L25" s="5">
        <f>SUM(B25:K25)</f>
        <v>8</v>
      </c>
      <c r="M25" s="5">
        <f>10-COUNTBLANK(B25:K25)</f>
        <v>6</v>
      </c>
      <c r="N25" s="4">
        <f>L25/(M25*2)</f>
        <v>0.66666666666666663</v>
      </c>
    </row>
    <row r="26" spans="1:14" x14ac:dyDescent="0.25">
      <c r="A26" s="5" t="s">
        <v>68</v>
      </c>
      <c r="B26" s="5">
        <v>2</v>
      </c>
      <c r="C26" s="5">
        <v>1</v>
      </c>
      <c r="D26" s="5"/>
      <c r="E26" s="5"/>
      <c r="F26" s="5"/>
      <c r="G26" s="5">
        <v>2</v>
      </c>
      <c r="H26" s="5"/>
      <c r="I26" s="5">
        <v>1</v>
      </c>
      <c r="J26" s="5">
        <v>1</v>
      </c>
      <c r="K26" s="5">
        <v>2</v>
      </c>
      <c r="L26" s="5">
        <f>SUM(B26:K26)</f>
        <v>9</v>
      </c>
      <c r="M26" s="5">
        <f>10-COUNTBLANK(B26:K26)</f>
        <v>6</v>
      </c>
      <c r="N26" s="4">
        <f>L26/(M26*2)</f>
        <v>0.75</v>
      </c>
    </row>
    <row r="27" spans="1:14" ht="30" x14ac:dyDescent="0.25">
      <c r="A27" s="6" t="s">
        <v>67</v>
      </c>
      <c r="B27" s="5">
        <v>2</v>
      </c>
      <c r="C27" s="5">
        <v>1</v>
      </c>
      <c r="D27" s="5"/>
      <c r="E27" s="5">
        <v>2</v>
      </c>
      <c r="F27" s="5"/>
      <c r="G27" s="5"/>
      <c r="H27" s="5"/>
      <c r="I27" s="5">
        <v>1</v>
      </c>
      <c r="J27" s="5">
        <v>2</v>
      </c>
      <c r="K27" s="5">
        <v>2</v>
      </c>
      <c r="L27" s="5">
        <f>SUM(B27:K27)</f>
        <v>10</v>
      </c>
      <c r="M27" s="5">
        <f>10-COUNTBLANK(B27:K27)</f>
        <v>6</v>
      </c>
      <c r="N27" s="4">
        <f>L27/(M27*2)</f>
        <v>0.83333333333333337</v>
      </c>
    </row>
    <row r="28" spans="1:14" ht="30" x14ac:dyDescent="0.25">
      <c r="A28" s="6" t="s">
        <v>66</v>
      </c>
      <c r="B28" s="5">
        <v>2</v>
      </c>
      <c r="C28" s="5">
        <v>2</v>
      </c>
      <c r="D28" s="5"/>
      <c r="E28" s="5"/>
      <c r="F28" s="5">
        <v>2</v>
      </c>
      <c r="G28" s="5">
        <v>2</v>
      </c>
      <c r="H28" s="5"/>
      <c r="I28" s="5">
        <v>1</v>
      </c>
      <c r="J28" s="5">
        <v>2</v>
      </c>
      <c r="K28" s="5">
        <v>2</v>
      </c>
      <c r="L28" s="5">
        <f>SUM(B28:K28)</f>
        <v>13</v>
      </c>
      <c r="M28" s="5">
        <f>10-COUNTBLANK(B28:K28)</f>
        <v>7</v>
      </c>
      <c r="N28" s="4">
        <f>L28/(M28*2)</f>
        <v>0.9285714285714286</v>
      </c>
    </row>
    <row r="29" spans="1:14" ht="30" x14ac:dyDescent="0.25">
      <c r="A29" s="6" t="s">
        <v>65</v>
      </c>
      <c r="B29" s="5">
        <v>2</v>
      </c>
      <c r="C29" s="5">
        <v>0</v>
      </c>
      <c r="D29" s="5"/>
      <c r="E29" s="5"/>
      <c r="F29" s="5"/>
      <c r="G29" s="5">
        <v>2</v>
      </c>
      <c r="H29" s="5"/>
      <c r="I29" s="5"/>
      <c r="J29" s="5">
        <v>1</v>
      </c>
      <c r="K29" s="5">
        <v>1</v>
      </c>
      <c r="L29" s="5">
        <f>SUM(B29:K29)</f>
        <v>6</v>
      </c>
      <c r="M29" s="5">
        <f>10-COUNTBLANK(B29:K29)</f>
        <v>5</v>
      </c>
      <c r="N29" s="4">
        <f>L29/(M29*2)</f>
        <v>0.6</v>
      </c>
    </row>
    <row r="30" spans="1:14" ht="30" x14ac:dyDescent="0.25">
      <c r="A30" s="6" t="s">
        <v>64</v>
      </c>
      <c r="B30" s="5">
        <v>2</v>
      </c>
      <c r="C30" s="5">
        <v>2</v>
      </c>
      <c r="D30" s="5"/>
      <c r="E30" s="5">
        <v>2</v>
      </c>
      <c r="F30" s="5">
        <v>1</v>
      </c>
      <c r="G30" s="5"/>
      <c r="H30" s="5">
        <v>1</v>
      </c>
      <c r="I30" s="5">
        <v>1</v>
      </c>
      <c r="J30" s="5">
        <v>2</v>
      </c>
      <c r="K30" s="5">
        <v>2</v>
      </c>
      <c r="L30" s="5">
        <f>SUM(B30:K30)</f>
        <v>13</v>
      </c>
      <c r="M30" s="5">
        <f>10-COUNTBLANK(B30:K30)</f>
        <v>8</v>
      </c>
      <c r="N30" s="4">
        <f>L30/(M30*2)</f>
        <v>0.8125</v>
      </c>
    </row>
    <row r="31" spans="1:14" ht="30" x14ac:dyDescent="0.25">
      <c r="A31" s="6" t="s">
        <v>63</v>
      </c>
      <c r="B31" s="5">
        <v>2</v>
      </c>
      <c r="C31" s="5">
        <v>1</v>
      </c>
      <c r="D31" s="5">
        <v>2</v>
      </c>
      <c r="E31" s="5"/>
      <c r="F31" s="5"/>
      <c r="G31" s="5"/>
      <c r="H31" s="5">
        <v>1</v>
      </c>
      <c r="I31" s="5">
        <v>1</v>
      </c>
      <c r="J31" s="5">
        <v>1</v>
      </c>
      <c r="K31" s="5">
        <v>2</v>
      </c>
      <c r="L31" s="5">
        <f>SUM(B31:K31)</f>
        <v>10</v>
      </c>
      <c r="M31" s="5">
        <f>10-COUNTBLANK(B31:K31)</f>
        <v>7</v>
      </c>
      <c r="N31" s="4">
        <f>L31/(M31*2)</f>
        <v>0.7142857142857143</v>
      </c>
    </row>
    <row r="32" spans="1:14" x14ac:dyDescent="0.25">
      <c r="A32" s="5" t="s">
        <v>62</v>
      </c>
      <c r="B32" s="5">
        <v>1</v>
      </c>
      <c r="C32" s="5">
        <v>1</v>
      </c>
      <c r="D32" s="5"/>
      <c r="E32" s="5"/>
      <c r="F32" s="5"/>
      <c r="G32" s="5"/>
      <c r="H32" s="5">
        <v>1</v>
      </c>
      <c r="I32" s="5">
        <v>1</v>
      </c>
      <c r="J32" s="5">
        <v>1</v>
      </c>
      <c r="K32" s="5">
        <v>1</v>
      </c>
      <c r="L32" s="5">
        <f>SUM(B32:K32)</f>
        <v>6</v>
      </c>
      <c r="M32" s="5">
        <f>10-COUNTBLANK(B32:K32)</f>
        <v>6</v>
      </c>
      <c r="N32" s="4">
        <f>L32/(M32*2)</f>
        <v>0.5</v>
      </c>
    </row>
    <row r="33" spans="1:14" ht="30" x14ac:dyDescent="0.25">
      <c r="A33" s="6" t="s">
        <v>61</v>
      </c>
      <c r="B33" s="5">
        <v>2</v>
      </c>
      <c r="C33" s="5">
        <v>1</v>
      </c>
      <c r="D33" s="5"/>
      <c r="E33" s="5">
        <v>2</v>
      </c>
      <c r="F33" s="5"/>
      <c r="G33" s="5"/>
      <c r="H33" s="5"/>
      <c r="I33" s="5">
        <v>1</v>
      </c>
      <c r="J33" s="5">
        <v>2</v>
      </c>
      <c r="K33" s="5">
        <v>2</v>
      </c>
      <c r="L33" s="5">
        <f>SUM(B33:K33)</f>
        <v>10</v>
      </c>
      <c r="M33" s="5">
        <f>10-COUNTBLANK(B33:K33)</f>
        <v>6</v>
      </c>
      <c r="N33" s="4">
        <f>L33/(M33*2)</f>
        <v>0.83333333333333337</v>
      </c>
    </row>
    <row r="34" spans="1:14" ht="30" x14ac:dyDescent="0.25">
      <c r="A34" s="6" t="s">
        <v>60</v>
      </c>
      <c r="B34" s="5">
        <v>2</v>
      </c>
      <c r="C34" s="5">
        <v>2</v>
      </c>
      <c r="D34" s="5">
        <v>1</v>
      </c>
      <c r="E34" s="5">
        <v>1</v>
      </c>
      <c r="F34" s="5"/>
      <c r="G34" s="5"/>
      <c r="H34" s="5">
        <v>1</v>
      </c>
      <c r="I34" s="5">
        <v>1</v>
      </c>
      <c r="J34" s="5">
        <v>2</v>
      </c>
      <c r="K34" s="5">
        <v>2</v>
      </c>
      <c r="L34" s="5">
        <f>SUM(B34:K34)</f>
        <v>12</v>
      </c>
      <c r="M34" s="5">
        <f>10-COUNTBLANK(B34:K34)</f>
        <v>8</v>
      </c>
      <c r="N34" s="4">
        <f>L34/(M34*2)</f>
        <v>0.75</v>
      </c>
    </row>
    <row r="35" spans="1:14" ht="30" x14ac:dyDescent="0.25">
      <c r="A35" s="6" t="s">
        <v>59</v>
      </c>
      <c r="B35" s="5">
        <v>2</v>
      </c>
      <c r="C35" s="5">
        <v>1</v>
      </c>
      <c r="D35" s="5"/>
      <c r="E35" s="5">
        <v>2</v>
      </c>
      <c r="F35" s="5"/>
      <c r="G35" s="5"/>
      <c r="H35" s="5"/>
      <c r="I35" s="5">
        <v>1</v>
      </c>
      <c r="J35" s="5">
        <v>1</v>
      </c>
      <c r="K35" s="5">
        <v>2</v>
      </c>
      <c r="L35" s="5">
        <f>SUM(B35:K35)</f>
        <v>9</v>
      </c>
      <c r="M35" s="5">
        <f>10-COUNTBLANK(B35:K35)</f>
        <v>6</v>
      </c>
      <c r="N35" s="4">
        <f>L35/(M35*2)</f>
        <v>0.75</v>
      </c>
    </row>
    <row r="36" spans="1:14" ht="30" x14ac:dyDescent="0.25">
      <c r="A36" s="6" t="s">
        <v>58</v>
      </c>
      <c r="B36" s="5">
        <v>1</v>
      </c>
      <c r="C36" s="5">
        <v>1</v>
      </c>
      <c r="D36" s="5"/>
      <c r="E36" s="5">
        <v>2</v>
      </c>
      <c r="F36" s="5"/>
      <c r="G36" s="5"/>
      <c r="H36" s="5"/>
      <c r="I36" s="5">
        <v>1</v>
      </c>
      <c r="J36" s="5">
        <v>1</v>
      </c>
      <c r="K36" s="5">
        <v>2</v>
      </c>
      <c r="L36" s="5">
        <f>SUM(B36:K36)</f>
        <v>8</v>
      </c>
      <c r="M36" s="5">
        <f>10-COUNTBLANK(B36:K36)</f>
        <v>6</v>
      </c>
      <c r="N36" s="4">
        <f>L36/(M36*2)</f>
        <v>0.66666666666666663</v>
      </c>
    </row>
    <row r="37" spans="1:14" ht="30" x14ac:dyDescent="0.25">
      <c r="A37" s="6" t="s">
        <v>57</v>
      </c>
      <c r="B37" s="5">
        <v>2</v>
      </c>
      <c r="C37" s="5">
        <v>1</v>
      </c>
      <c r="D37" s="5"/>
      <c r="E37" s="5">
        <v>2</v>
      </c>
      <c r="F37" s="5"/>
      <c r="G37" s="5"/>
      <c r="H37" s="5">
        <v>1</v>
      </c>
      <c r="I37" s="5">
        <v>1</v>
      </c>
      <c r="J37" s="5">
        <v>2</v>
      </c>
      <c r="K37" s="5">
        <v>2</v>
      </c>
      <c r="L37" s="5">
        <f>SUM(B37:K37)</f>
        <v>11</v>
      </c>
      <c r="M37" s="5">
        <f>10-COUNTBLANK(B37:K37)</f>
        <v>7</v>
      </c>
      <c r="N37" s="4">
        <f>L37/(M37*2)</f>
        <v>0.7857142857142857</v>
      </c>
    </row>
    <row r="38" spans="1:14" ht="30" x14ac:dyDescent="0.25">
      <c r="A38" s="6" t="s">
        <v>56</v>
      </c>
      <c r="B38" s="5">
        <v>1</v>
      </c>
      <c r="C38" s="5">
        <v>2</v>
      </c>
      <c r="D38" s="5"/>
      <c r="E38" s="5">
        <v>2</v>
      </c>
      <c r="F38" s="5">
        <v>1</v>
      </c>
      <c r="G38" s="5"/>
      <c r="H38" s="5"/>
      <c r="I38" s="5">
        <v>2</v>
      </c>
      <c r="J38" s="5">
        <v>2</v>
      </c>
      <c r="K38" s="5">
        <v>2</v>
      </c>
      <c r="L38" s="5">
        <f>SUM(B38:K38)</f>
        <v>12</v>
      </c>
      <c r="M38" s="5">
        <f>10-COUNTBLANK(B38:K38)</f>
        <v>7</v>
      </c>
      <c r="N38" s="4">
        <f>L38/(M38*2)</f>
        <v>0.8571428571428571</v>
      </c>
    </row>
    <row r="39" spans="1:14" ht="30" x14ac:dyDescent="0.25">
      <c r="A39" s="6" t="s">
        <v>55</v>
      </c>
      <c r="B39" s="5">
        <v>2</v>
      </c>
      <c r="C39" s="5">
        <v>2</v>
      </c>
      <c r="D39" s="5">
        <v>2</v>
      </c>
      <c r="E39" s="5"/>
      <c r="F39" s="5">
        <v>1</v>
      </c>
      <c r="G39" s="5">
        <v>2</v>
      </c>
      <c r="H39" s="5">
        <v>1</v>
      </c>
      <c r="I39" s="5">
        <v>2</v>
      </c>
      <c r="J39" s="5">
        <v>2</v>
      </c>
      <c r="K39" s="5">
        <v>2</v>
      </c>
      <c r="L39" s="5">
        <f>SUM(B39:K39)</f>
        <v>16</v>
      </c>
      <c r="M39" s="5">
        <f>10-COUNTBLANK(B39:K39)</f>
        <v>9</v>
      </c>
      <c r="N39" s="4">
        <f>L39/(M39*2)</f>
        <v>0.88888888888888884</v>
      </c>
    </row>
    <row r="40" spans="1:14" s="1" customFormat="1" ht="30" x14ac:dyDescent="0.25">
      <c r="A40" s="7" t="s">
        <v>54</v>
      </c>
      <c r="B40" s="3">
        <v>2</v>
      </c>
      <c r="C40" s="3">
        <v>1</v>
      </c>
      <c r="D40" s="3"/>
      <c r="E40" s="3">
        <v>2</v>
      </c>
      <c r="F40" s="3"/>
      <c r="G40" s="3"/>
      <c r="H40" s="3"/>
      <c r="I40" s="3">
        <v>1</v>
      </c>
      <c r="J40" s="3">
        <v>2</v>
      </c>
      <c r="K40" s="3">
        <v>2</v>
      </c>
      <c r="L40" s="3">
        <f>SUM(B40:K40)</f>
        <v>10</v>
      </c>
      <c r="M40" s="3">
        <f>10-COUNTBLANK(B40:K40)</f>
        <v>6</v>
      </c>
      <c r="N40" s="2">
        <f>L40/(M40*2)</f>
        <v>0.83333333333333337</v>
      </c>
    </row>
    <row r="41" spans="1:14" ht="30" x14ac:dyDescent="0.25">
      <c r="A41" s="6" t="s">
        <v>53</v>
      </c>
      <c r="B41" s="5">
        <v>2</v>
      </c>
      <c r="C41" s="5">
        <v>1</v>
      </c>
      <c r="D41" s="5"/>
      <c r="E41" s="5">
        <v>1</v>
      </c>
      <c r="F41" s="5"/>
      <c r="G41" s="5"/>
      <c r="H41" s="5"/>
      <c r="I41" s="5">
        <v>1</v>
      </c>
      <c r="J41" s="5">
        <v>2</v>
      </c>
      <c r="K41" s="5">
        <v>2</v>
      </c>
      <c r="L41" s="5">
        <f>SUM(B41:K41)</f>
        <v>9</v>
      </c>
      <c r="M41" s="5">
        <f>10-COUNTBLANK(B41:K41)</f>
        <v>6</v>
      </c>
      <c r="N41" s="4">
        <f>L41/(M41*2)</f>
        <v>0.75</v>
      </c>
    </row>
    <row r="42" spans="1:14" ht="30" x14ac:dyDescent="0.25">
      <c r="A42" s="6" t="s">
        <v>52</v>
      </c>
      <c r="B42" s="5">
        <v>2</v>
      </c>
      <c r="C42" s="5">
        <v>1</v>
      </c>
      <c r="D42" s="5">
        <v>1</v>
      </c>
      <c r="E42" s="5">
        <v>1</v>
      </c>
      <c r="F42" s="5">
        <v>2</v>
      </c>
      <c r="G42" s="5">
        <v>1</v>
      </c>
      <c r="H42" s="5"/>
      <c r="I42" s="5">
        <v>2</v>
      </c>
      <c r="J42" s="5">
        <v>2</v>
      </c>
      <c r="K42" s="5">
        <v>2</v>
      </c>
      <c r="L42" s="5">
        <f>SUM(B42:K42)</f>
        <v>14</v>
      </c>
      <c r="M42" s="5">
        <f>10-COUNTBLANK(B42:K42)</f>
        <v>9</v>
      </c>
      <c r="N42" s="4">
        <f>L42/(M42*2)</f>
        <v>0.77777777777777779</v>
      </c>
    </row>
    <row r="43" spans="1:14" ht="30" x14ac:dyDescent="0.25">
      <c r="A43" s="6" t="s">
        <v>51</v>
      </c>
      <c r="B43" s="5">
        <v>2</v>
      </c>
      <c r="C43" s="5">
        <v>2</v>
      </c>
      <c r="D43" s="5"/>
      <c r="E43" s="5">
        <v>1</v>
      </c>
      <c r="F43" s="5"/>
      <c r="G43" s="5"/>
      <c r="H43" s="5"/>
      <c r="I43" s="5">
        <v>1</v>
      </c>
      <c r="J43" s="5">
        <v>1</v>
      </c>
      <c r="K43" s="5">
        <v>1</v>
      </c>
      <c r="L43" s="5">
        <f>SUM(B43:K43)</f>
        <v>8</v>
      </c>
      <c r="M43" s="5">
        <f>10-COUNTBLANK(B43:K43)</f>
        <v>6</v>
      </c>
      <c r="N43" s="4">
        <f>L43/(M43*2)</f>
        <v>0.66666666666666663</v>
      </c>
    </row>
    <row r="44" spans="1:14" ht="30" x14ac:dyDescent="0.25">
      <c r="A44" s="6" t="s">
        <v>50</v>
      </c>
      <c r="B44" s="5">
        <v>1</v>
      </c>
      <c r="C44" s="5">
        <v>1</v>
      </c>
      <c r="D44" s="5"/>
      <c r="E44" s="5">
        <v>2</v>
      </c>
      <c r="F44" s="5"/>
      <c r="G44" s="5"/>
      <c r="H44" s="5"/>
      <c r="I44" s="5">
        <v>1</v>
      </c>
      <c r="J44" s="5">
        <v>1</v>
      </c>
      <c r="K44" s="5">
        <v>2</v>
      </c>
      <c r="L44" s="5">
        <f>SUM(B44:K44)</f>
        <v>8</v>
      </c>
      <c r="M44" s="5">
        <f>10-COUNTBLANK(B44:K44)</f>
        <v>6</v>
      </c>
      <c r="N44" s="4">
        <f>L44/(M44*2)</f>
        <v>0.66666666666666663</v>
      </c>
    </row>
    <row r="45" spans="1:14" x14ac:dyDescent="0.25">
      <c r="A45" s="6" t="s">
        <v>49</v>
      </c>
      <c r="B45" s="5">
        <v>2</v>
      </c>
      <c r="C45" s="5">
        <v>1</v>
      </c>
      <c r="D45" s="5"/>
      <c r="E45" s="5"/>
      <c r="F45" s="5"/>
      <c r="G45" s="5"/>
      <c r="H45" s="5"/>
      <c r="I45" s="5"/>
      <c r="J45" s="5">
        <v>0</v>
      </c>
      <c r="K45" s="5">
        <v>0</v>
      </c>
      <c r="L45" s="5">
        <f>SUM(B45:K45)</f>
        <v>3</v>
      </c>
      <c r="M45" s="5">
        <f>10-COUNTBLANK(B45:K45)</f>
        <v>4</v>
      </c>
      <c r="N45" s="4">
        <f>L45/(M45*2)</f>
        <v>0.375</v>
      </c>
    </row>
    <row r="46" spans="1:14" s="1" customFormat="1" ht="30" x14ac:dyDescent="0.25">
      <c r="A46" s="7" t="s">
        <v>48</v>
      </c>
      <c r="B46" s="3">
        <v>2</v>
      </c>
      <c r="C46" s="3">
        <v>2</v>
      </c>
      <c r="D46" s="3">
        <v>2</v>
      </c>
      <c r="E46" s="3"/>
      <c r="F46" s="3"/>
      <c r="G46" s="3"/>
      <c r="H46" s="3"/>
      <c r="I46" s="3">
        <v>1</v>
      </c>
      <c r="J46" s="3">
        <v>1</v>
      </c>
      <c r="K46" s="3">
        <v>2</v>
      </c>
      <c r="L46" s="3">
        <f>SUM(B46:K46)</f>
        <v>10</v>
      </c>
      <c r="M46" s="3">
        <f>10-COUNTBLANK(B46:K46)</f>
        <v>6</v>
      </c>
      <c r="N46" s="2">
        <f>L46/(M46*2)</f>
        <v>0.83333333333333337</v>
      </c>
    </row>
    <row r="47" spans="1:14" x14ac:dyDescent="0.25">
      <c r="A47" s="5" t="s">
        <v>47</v>
      </c>
      <c r="B47" s="5">
        <v>2</v>
      </c>
      <c r="C47" s="5">
        <v>1</v>
      </c>
      <c r="D47" s="5">
        <v>1</v>
      </c>
      <c r="E47" s="5"/>
      <c r="F47" s="5">
        <v>2</v>
      </c>
      <c r="G47" s="5">
        <v>2</v>
      </c>
      <c r="H47" s="5">
        <v>1</v>
      </c>
      <c r="I47" s="5">
        <v>1</v>
      </c>
      <c r="J47" s="5">
        <v>2</v>
      </c>
      <c r="K47" s="5">
        <v>2</v>
      </c>
      <c r="L47" s="5">
        <f>SUM(B47:K47)</f>
        <v>14</v>
      </c>
      <c r="M47" s="5">
        <f>10-COUNTBLANK(B47:K47)</f>
        <v>9</v>
      </c>
      <c r="N47" s="4">
        <f>L47/(M47*2)</f>
        <v>0.77777777777777779</v>
      </c>
    </row>
    <row r="48" spans="1:14" ht="30" x14ac:dyDescent="0.25">
      <c r="A48" s="6" t="s">
        <v>46</v>
      </c>
      <c r="B48" s="5">
        <v>2</v>
      </c>
      <c r="C48" s="5">
        <v>1</v>
      </c>
      <c r="D48" s="5"/>
      <c r="E48" s="5">
        <v>2</v>
      </c>
      <c r="F48" s="5"/>
      <c r="G48" s="5"/>
      <c r="H48" s="5"/>
      <c r="I48" s="5">
        <v>2</v>
      </c>
      <c r="J48" s="5">
        <v>1</v>
      </c>
      <c r="K48" s="5">
        <v>1</v>
      </c>
      <c r="L48" s="5">
        <f>SUM(B48:K48)</f>
        <v>9</v>
      </c>
      <c r="M48" s="5">
        <f>10-COUNTBLANK(B48:K48)</f>
        <v>6</v>
      </c>
      <c r="N48" s="4">
        <f>L48/(M48*2)</f>
        <v>0.75</v>
      </c>
    </row>
    <row r="49" spans="1:14" ht="30" x14ac:dyDescent="0.25">
      <c r="A49" s="6" t="s">
        <v>45</v>
      </c>
      <c r="B49" s="5">
        <v>2</v>
      </c>
      <c r="C49" s="5">
        <v>2</v>
      </c>
      <c r="D49" s="5">
        <v>1</v>
      </c>
      <c r="E49" s="5">
        <v>1</v>
      </c>
      <c r="F49" s="5"/>
      <c r="G49" s="5"/>
      <c r="H49" s="5"/>
      <c r="I49" s="5">
        <v>0</v>
      </c>
      <c r="J49" s="5">
        <v>1</v>
      </c>
      <c r="K49" s="5">
        <v>1</v>
      </c>
      <c r="L49" s="5">
        <f>SUM(B49:K49)</f>
        <v>8</v>
      </c>
      <c r="M49" s="5">
        <f>10-COUNTBLANK(B49:K49)</f>
        <v>7</v>
      </c>
      <c r="N49" s="4">
        <f>L49/(M49*2)</f>
        <v>0.5714285714285714</v>
      </c>
    </row>
    <row r="50" spans="1:14" s="1" customFormat="1" ht="30" x14ac:dyDescent="0.25">
      <c r="A50" s="7" t="s">
        <v>44</v>
      </c>
      <c r="B50" s="3">
        <v>2</v>
      </c>
      <c r="C50" s="3">
        <v>1</v>
      </c>
      <c r="D50" s="3"/>
      <c r="E50" s="3">
        <v>2</v>
      </c>
      <c r="F50" s="3"/>
      <c r="G50" s="3"/>
      <c r="H50" s="3"/>
      <c r="I50" s="3">
        <v>1</v>
      </c>
      <c r="J50" s="3">
        <v>2</v>
      </c>
      <c r="K50" s="3">
        <v>2</v>
      </c>
      <c r="L50" s="3">
        <f>SUM(B50:K50)</f>
        <v>10</v>
      </c>
      <c r="M50" s="3">
        <f>10-COUNTBLANK(B50:K50)</f>
        <v>6</v>
      </c>
      <c r="N50" s="2">
        <f>L50/(M50*2)</f>
        <v>0.83333333333333337</v>
      </c>
    </row>
    <row r="51" spans="1:14" ht="30" x14ac:dyDescent="0.25">
      <c r="A51" s="6" t="s">
        <v>43</v>
      </c>
      <c r="B51" s="5">
        <v>1</v>
      </c>
      <c r="C51" s="5">
        <v>1</v>
      </c>
      <c r="D51" s="5"/>
      <c r="E51" s="5"/>
      <c r="F51" s="5">
        <v>1</v>
      </c>
      <c r="G51" s="5"/>
      <c r="H51" s="5"/>
      <c r="I51" s="5">
        <v>1</v>
      </c>
      <c r="J51" s="5">
        <v>1</v>
      </c>
      <c r="K51" s="5">
        <v>1</v>
      </c>
      <c r="L51" s="5">
        <f>SUM(B51:K51)</f>
        <v>6</v>
      </c>
      <c r="M51" s="5">
        <f>10-COUNTBLANK(B51:K51)</f>
        <v>6</v>
      </c>
      <c r="N51" s="4">
        <f>L51/(M51*2)</f>
        <v>0.5</v>
      </c>
    </row>
    <row r="52" spans="1:14" s="1" customFormat="1" ht="30" x14ac:dyDescent="0.25">
      <c r="A52" s="7" t="s">
        <v>42</v>
      </c>
      <c r="B52" s="3">
        <v>2</v>
      </c>
      <c r="C52" s="3">
        <v>2</v>
      </c>
      <c r="D52" s="3">
        <v>2</v>
      </c>
      <c r="E52" s="3"/>
      <c r="F52" s="3">
        <v>2</v>
      </c>
      <c r="G52" s="3"/>
      <c r="H52" s="3">
        <v>1</v>
      </c>
      <c r="I52" s="3">
        <v>2</v>
      </c>
      <c r="J52" s="3">
        <v>1</v>
      </c>
      <c r="K52" s="3">
        <v>2</v>
      </c>
      <c r="L52" s="3">
        <f>SUM(B52:K52)</f>
        <v>14</v>
      </c>
      <c r="M52" s="3">
        <f>10-COUNTBLANK(B52:K52)</f>
        <v>8</v>
      </c>
      <c r="N52" s="2">
        <f>L52/(M52*2)</f>
        <v>0.875</v>
      </c>
    </row>
    <row r="53" spans="1:14" ht="30" x14ac:dyDescent="0.25">
      <c r="A53" s="6" t="s">
        <v>41</v>
      </c>
      <c r="B53" s="5">
        <v>1</v>
      </c>
      <c r="C53" s="5">
        <v>1</v>
      </c>
      <c r="D53" s="5">
        <v>1</v>
      </c>
      <c r="E53" s="5"/>
      <c r="F53" s="5"/>
      <c r="G53" s="5"/>
      <c r="H53" s="5"/>
      <c r="I53" s="5">
        <v>2</v>
      </c>
      <c r="J53" s="5">
        <v>1</v>
      </c>
      <c r="K53" s="5">
        <v>1</v>
      </c>
      <c r="L53" s="5">
        <f>SUM(B53:K53)</f>
        <v>7</v>
      </c>
      <c r="M53" s="5">
        <f>10-COUNTBLANK(B53:K53)</f>
        <v>6</v>
      </c>
      <c r="N53" s="4">
        <f>L53/(M53*2)</f>
        <v>0.58333333333333337</v>
      </c>
    </row>
    <row r="54" spans="1:14" s="1" customFormat="1" ht="30" x14ac:dyDescent="0.25">
      <c r="A54" s="7" t="s">
        <v>40</v>
      </c>
      <c r="B54" s="3">
        <v>2</v>
      </c>
      <c r="C54" s="3">
        <v>2</v>
      </c>
      <c r="D54" s="3">
        <v>2</v>
      </c>
      <c r="E54" s="3"/>
      <c r="F54" s="3">
        <v>2</v>
      </c>
      <c r="G54" s="3">
        <v>2</v>
      </c>
      <c r="H54" s="3">
        <v>1</v>
      </c>
      <c r="I54" s="3">
        <v>2</v>
      </c>
      <c r="J54" s="3">
        <v>2</v>
      </c>
      <c r="K54" s="3">
        <v>2</v>
      </c>
      <c r="L54" s="3">
        <f>SUM(B54:K54)</f>
        <v>17</v>
      </c>
      <c r="M54" s="3">
        <f>10-COUNTBLANK(B54:K54)</f>
        <v>9</v>
      </c>
      <c r="N54" s="2">
        <f>L54/(M54*2)</f>
        <v>0.94444444444444442</v>
      </c>
    </row>
    <row r="55" spans="1:14" ht="30" x14ac:dyDescent="0.25">
      <c r="A55" s="6" t="s">
        <v>39</v>
      </c>
      <c r="B55" s="5">
        <v>2</v>
      </c>
      <c r="C55" s="5">
        <v>2</v>
      </c>
      <c r="D55" s="5">
        <v>2</v>
      </c>
      <c r="E55" s="5">
        <v>1</v>
      </c>
      <c r="F55" s="5">
        <v>2</v>
      </c>
      <c r="G55" s="5">
        <v>2</v>
      </c>
      <c r="H55" s="5">
        <v>1</v>
      </c>
      <c r="I55" s="5">
        <v>2</v>
      </c>
      <c r="J55" s="5">
        <v>2</v>
      </c>
      <c r="K55" s="5">
        <v>2</v>
      </c>
      <c r="L55" s="5">
        <f>SUM(B55:K55)</f>
        <v>18</v>
      </c>
      <c r="M55" s="5">
        <f>10-COUNTBLANK(B55:K55)</f>
        <v>10</v>
      </c>
      <c r="N55" s="4">
        <f>L55/(M55*2)</f>
        <v>0.9</v>
      </c>
    </row>
    <row r="56" spans="1:14" ht="30" x14ac:dyDescent="0.25">
      <c r="A56" s="6" t="s">
        <v>38</v>
      </c>
      <c r="B56" s="5">
        <v>2</v>
      </c>
      <c r="C56" s="5">
        <v>1</v>
      </c>
      <c r="D56" s="5"/>
      <c r="E56" s="5">
        <v>2</v>
      </c>
      <c r="F56" s="5"/>
      <c r="G56" s="5"/>
      <c r="H56" s="5"/>
      <c r="I56" s="5">
        <v>1</v>
      </c>
      <c r="J56" s="5">
        <v>2</v>
      </c>
      <c r="K56" s="5">
        <v>2</v>
      </c>
      <c r="L56" s="5">
        <f>SUM(B56:K56)</f>
        <v>10</v>
      </c>
      <c r="M56" s="5">
        <f>10-COUNTBLANK(B56:K56)</f>
        <v>6</v>
      </c>
      <c r="N56" s="4">
        <f>L56/(M56*2)</f>
        <v>0.83333333333333337</v>
      </c>
    </row>
    <row r="57" spans="1:14" ht="30" x14ac:dyDescent="0.25">
      <c r="A57" s="6" t="s">
        <v>37</v>
      </c>
      <c r="B57" s="5">
        <v>2</v>
      </c>
      <c r="C57" s="5">
        <v>1</v>
      </c>
      <c r="D57" s="5">
        <v>1</v>
      </c>
      <c r="E57" s="5"/>
      <c r="F57" s="5"/>
      <c r="G57" s="5"/>
      <c r="H57" s="5">
        <v>1</v>
      </c>
      <c r="I57" s="5">
        <v>1</v>
      </c>
      <c r="J57" s="5">
        <v>2</v>
      </c>
      <c r="K57" s="5">
        <v>2</v>
      </c>
      <c r="L57" s="5">
        <f>SUM(B57:K57)</f>
        <v>10</v>
      </c>
      <c r="M57" s="5">
        <f>10-COUNTBLANK(B57:K57)</f>
        <v>7</v>
      </c>
      <c r="N57" s="4">
        <f>L57/(M57*2)</f>
        <v>0.7142857142857143</v>
      </c>
    </row>
    <row r="58" spans="1:14" ht="30" x14ac:dyDescent="0.25">
      <c r="A58" s="6" t="s">
        <v>36</v>
      </c>
      <c r="B58" s="5">
        <v>2</v>
      </c>
      <c r="C58" s="5">
        <v>1</v>
      </c>
      <c r="D58" s="5">
        <v>2</v>
      </c>
      <c r="E58" s="5"/>
      <c r="F58" s="5"/>
      <c r="G58" s="5"/>
      <c r="H58" s="5"/>
      <c r="I58" s="5">
        <v>1</v>
      </c>
      <c r="J58" s="5">
        <v>1</v>
      </c>
      <c r="K58" s="5">
        <v>1</v>
      </c>
      <c r="L58" s="5">
        <f>SUM(B58:K58)</f>
        <v>8</v>
      </c>
      <c r="M58" s="5">
        <f>10-COUNTBLANK(B58:K58)</f>
        <v>6</v>
      </c>
      <c r="N58" s="4">
        <f>L58/(M58*2)</f>
        <v>0.66666666666666663</v>
      </c>
    </row>
    <row r="59" spans="1:14" ht="30" x14ac:dyDescent="0.25">
      <c r="A59" s="6" t="s">
        <v>35</v>
      </c>
      <c r="B59" s="5">
        <v>2</v>
      </c>
      <c r="C59" s="5">
        <v>2</v>
      </c>
      <c r="D59" s="5"/>
      <c r="E59" s="5"/>
      <c r="F59" s="5">
        <v>2</v>
      </c>
      <c r="G59" s="5">
        <v>1</v>
      </c>
      <c r="H59" s="5">
        <v>1</v>
      </c>
      <c r="I59" s="5">
        <v>2</v>
      </c>
      <c r="J59" s="5">
        <v>2</v>
      </c>
      <c r="K59" s="5">
        <v>1</v>
      </c>
      <c r="L59" s="5">
        <f>SUM(B59:K59)</f>
        <v>13</v>
      </c>
      <c r="M59" s="5">
        <f>10-COUNTBLANK(B59:K59)</f>
        <v>8</v>
      </c>
      <c r="N59" s="4">
        <f>L59/(M59*2)</f>
        <v>0.8125</v>
      </c>
    </row>
    <row r="60" spans="1:14" ht="30" x14ac:dyDescent="0.25">
      <c r="A60" s="6" t="s">
        <v>34</v>
      </c>
      <c r="B60" s="5">
        <v>2</v>
      </c>
      <c r="C60" s="5">
        <v>1</v>
      </c>
      <c r="D60" s="5">
        <v>2</v>
      </c>
      <c r="E60" s="5"/>
      <c r="F60" s="5"/>
      <c r="G60" s="5"/>
      <c r="H60" s="5"/>
      <c r="I60" s="5">
        <v>1</v>
      </c>
      <c r="J60" s="5">
        <v>1</v>
      </c>
      <c r="K60" s="5">
        <v>1</v>
      </c>
      <c r="L60" s="5">
        <f>SUM(B60:K60)</f>
        <v>8</v>
      </c>
      <c r="M60" s="5">
        <f>10-COUNTBLANK(B60:K60)</f>
        <v>6</v>
      </c>
      <c r="N60" s="4">
        <f>L60/(M60*2)</f>
        <v>0.66666666666666663</v>
      </c>
    </row>
    <row r="61" spans="1:14" ht="30" x14ac:dyDescent="0.25">
      <c r="A61" s="6" t="s">
        <v>33</v>
      </c>
      <c r="B61" s="5">
        <v>2</v>
      </c>
      <c r="C61" s="5">
        <v>0</v>
      </c>
      <c r="D61" s="5">
        <v>1</v>
      </c>
      <c r="E61" s="5">
        <v>1</v>
      </c>
      <c r="F61" s="5"/>
      <c r="G61" s="5">
        <v>1</v>
      </c>
      <c r="H61" s="5"/>
      <c r="I61" s="5">
        <v>0</v>
      </c>
      <c r="J61" s="5">
        <v>1</v>
      </c>
      <c r="K61" s="5">
        <v>2</v>
      </c>
      <c r="L61" s="5">
        <f>SUM(B61:K61)</f>
        <v>8</v>
      </c>
      <c r="M61" s="5">
        <f>10-COUNTBLANK(B61:K61)</f>
        <v>8</v>
      </c>
      <c r="N61" s="4">
        <f>L61/(M61*2)</f>
        <v>0.5</v>
      </c>
    </row>
    <row r="62" spans="1:14" ht="30" x14ac:dyDescent="0.25">
      <c r="A62" s="6" t="s">
        <v>32</v>
      </c>
      <c r="B62" s="5">
        <v>2</v>
      </c>
      <c r="C62" s="5">
        <v>1</v>
      </c>
      <c r="D62" s="5"/>
      <c r="E62" s="5"/>
      <c r="F62" s="5"/>
      <c r="G62" s="5"/>
      <c r="H62" s="5">
        <v>1</v>
      </c>
      <c r="I62" s="5">
        <v>1</v>
      </c>
      <c r="J62" s="5">
        <v>2</v>
      </c>
      <c r="K62" s="5">
        <v>2</v>
      </c>
      <c r="L62" s="5">
        <f>SUM(B62:K62)</f>
        <v>9</v>
      </c>
      <c r="M62" s="5">
        <f>10-COUNTBLANK(B62:K62)</f>
        <v>6</v>
      </c>
      <c r="N62" s="4">
        <f>L62/(M62*2)</f>
        <v>0.75</v>
      </c>
    </row>
    <row r="63" spans="1:14" ht="30" x14ac:dyDescent="0.25">
      <c r="A63" s="6" t="s">
        <v>31</v>
      </c>
      <c r="B63" s="5">
        <v>2</v>
      </c>
      <c r="C63" s="5">
        <v>1</v>
      </c>
      <c r="D63" s="5">
        <v>1</v>
      </c>
      <c r="E63" s="5"/>
      <c r="F63" s="5"/>
      <c r="G63" s="5"/>
      <c r="H63" s="5">
        <v>2</v>
      </c>
      <c r="I63" s="5">
        <v>1</v>
      </c>
      <c r="J63" s="5">
        <v>1</v>
      </c>
      <c r="K63" s="5">
        <v>2</v>
      </c>
      <c r="L63" s="5">
        <f>SUM(B63:K63)</f>
        <v>10</v>
      </c>
      <c r="M63" s="5">
        <f>10-COUNTBLANK(B63:K63)</f>
        <v>7</v>
      </c>
      <c r="N63" s="4">
        <f>L63/(M63*2)</f>
        <v>0.7142857142857143</v>
      </c>
    </row>
    <row r="64" spans="1:14" x14ac:dyDescent="0.25">
      <c r="A64" s="5" t="s">
        <v>30</v>
      </c>
      <c r="B64" s="5">
        <v>2</v>
      </c>
      <c r="C64" s="5">
        <v>2</v>
      </c>
      <c r="D64" s="5">
        <v>1</v>
      </c>
      <c r="E64" s="5"/>
      <c r="F64" s="5"/>
      <c r="G64" s="5"/>
      <c r="H64" s="5"/>
      <c r="I64" s="5">
        <v>1</v>
      </c>
      <c r="J64" s="5">
        <v>1</v>
      </c>
      <c r="K64" s="5">
        <v>1</v>
      </c>
      <c r="L64" s="5">
        <f>SUM(B64:K64)</f>
        <v>8</v>
      </c>
      <c r="M64" s="5">
        <f>10-COUNTBLANK(B64:K64)</f>
        <v>6</v>
      </c>
      <c r="N64" s="4">
        <f>L64/(M64*2)</f>
        <v>0.66666666666666663</v>
      </c>
    </row>
    <row r="65" spans="1:14" ht="30" x14ac:dyDescent="0.25">
      <c r="A65" s="6" t="s">
        <v>29</v>
      </c>
      <c r="B65" s="5">
        <v>2</v>
      </c>
      <c r="C65" s="5">
        <v>1</v>
      </c>
      <c r="D65" s="5">
        <v>1</v>
      </c>
      <c r="E65" s="5">
        <v>2</v>
      </c>
      <c r="F65" s="5"/>
      <c r="G65" s="5"/>
      <c r="H65" s="5">
        <v>2</v>
      </c>
      <c r="I65" s="5">
        <v>2</v>
      </c>
      <c r="J65" s="5">
        <v>2</v>
      </c>
      <c r="K65" s="5">
        <v>2</v>
      </c>
      <c r="L65" s="5">
        <f>SUM(B65:K65)</f>
        <v>14</v>
      </c>
      <c r="M65" s="5">
        <f>10-COUNTBLANK(B65:K65)</f>
        <v>8</v>
      </c>
      <c r="N65" s="4">
        <f>L65/(M65*2)</f>
        <v>0.875</v>
      </c>
    </row>
    <row r="66" spans="1:14" x14ac:dyDescent="0.25">
      <c r="A66" s="5" t="s">
        <v>28</v>
      </c>
      <c r="B66" s="5">
        <v>2</v>
      </c>
      <c r="C66" s="5">
        <v>2</v>
      </c>
      <c r="D66" s="5">
        <v>1</v>
      </c>
      <c r="E66" s="5"/>
      <c r="F66" s="5"/>
      <c r="G66" s="5">
        <v>1</v>
      </c>
      <c r="H66" s="5">
        <v>1</v>
      </c>
      <c r="I66" s="5">
        <v>2</v>
      </c>
      <c r="J66" s="5">
        <v>1</v>
      </c>
      <c r="K66" s="5">
        <v>2</v>
      </c>
      <c r="L66" s="5">
        <f>SUM(B66:K66)</f>
        <v>12</v>
      </c>
      <c r="M66" s="5">
        <f>10-COUNTBLANK(B66:K66)</f>
        <v>8</v>
      </c>
      <c r="N66" s="4">
        <f>L66/(M66*2)</f>
        <v>0.75</v>
      </c>
    </row>
    <row r="67" spans="1:14" ht="30" x14ac:dyDescent="0.25">
      <c r="A67" s="6" t="s">
        <v>27</v>
      </c>
      <c r="B67" s="5">
        <v>0</v>
      </c>
      <c r="C67" s="5">
        <v>0</v>
      </c>
      <c r="D67" s="5">
        <v>2</v>
      </c>
      <c r="E67" s="5"/>
      <c r="F67" s="5"/>
      <c r="G67" s="5"/>
      <c r="H67" s="5"/>
      <c r="I67" s="5">
        <v>2</v>
      </c>
      <c r="J67" s="5">
        <v>1</v>
      </c>
      <c r="K67" s="5">
        <v>1</v>
      </c>
      <c r="L67" s="5">
        <f>SUM(B67:K67)</f>
        <v>6</v>
      </c>
      <c r="M67" s="5">
        <f>10-COUNTBLANK(B67:K67)</f>
        <v>6</v>
      </c>
      <c r="N67" s="4">
        <f>L67/(M67*2)</f>
        <v>0.5</v>
      </c>
    </row>
    <row r="68" spans="1:14" ht="30" x14ac:dyDescent="0.25">
      <c r="A68" s="6" t="s">
        <v>26</v>
      </c>
      <c r="B68" s="5">
        <v>2</v>
      </c>
      <c r="C68" s="5">
        <v>1</v>
      </c>
      <c r="D68" s="5"/>
      <c r="E68" s="5">
        <v>2</v>
      </c>
      <c r="F68" s="5"/>
      <c r="G68" s="5"/>
      <c r="H68" s="5"/>
      <c r="I68" s="5">
        <v>1</v>
      </c>
      <c r="J68" s="5">
        <v>1</v>
      </c>
      <c r="K68" s="5">
        <v>2</v>
      </c>
      <c r="L68" s="5">
        <f>SUM(B68:K68)</f>
        <v>9</v>
      </c>
      <c r="M68" s="5">
        <f>10-COUNTBLANK(B68:K68)</f>
        <v>6</v>
      </c>
      <c r="N68" s="4">
        <f>L68/(M68*2)</f>
        <v>0.75</v>
      </c>
    </row>
    <row r="69" spans="1:14" x14ac:dyDescent="0.25">
      <c r="A69" s="5" t="s">
        <v>25</v>
      </c>
      <c r="B69" s="5">
        <v>2</v>
      </c>
      <c r="C69" s="5">
        <v>1</v>
      </c>
      <c r="D69" s="5"/>
      <c r="E69" s="5">
        <v>2</v>
      </c>
      <c r="F69" s="5"/>
      <c r="G69" s="5"/>
      <c r="H69" s="5"/>
      <c r="I69" s="5">
        <v>2</v>
      </c>
      <c r="J69" s="5">
        <v>1</v>
      </c>
      <c r="K69" s="5">
        <v>2</v>
      </c>
      <c r="L69" s="5">
        <f>SUM(B69:K69)</f>
        <v>10</v>
      </c>
      <c r="M69" s="5">
        <f>10-COUNTBLANK(B69:K69)</f>
        <v>6</v>
      </c>
      <c r="N69" s="4">
        <f>L69/(M69*2)</f>
        <v>0.83333333333333337</v>
      </c>
    </row>
    <row r="70" spans="1:14" ht="30" x14ac:dyDescent="0.25">
      <c r="A70" s="6" t="s">
        <v>24</v>
      </c>
      <c r="B70" s="5">
        <v>1</v>
      </c>
      <c r="C70" s="5">
        <v>1</v>
      </c>
      <c r="D70" s="5"/>
      <c r="E70" s="5"/>
      <c r="F70" s="5">
        <v>2</v>
      </c>
      <c r="G70" s="5"/>
      <c r="H70" s="5"/>
      <c r="I70" s="5">
        <v>2</v>
      </c>
      <c r="J70" s="5">
        <v>1</v>
      </c>
      <c r="K70" s="5">
        <v>1</v>
      </c>
      <c r="L70" s="5">
        <f>SUM(B70:K70)</f>
        <v>8</v>
      </c>
      <c r="M70" s="5">
        <f>10-COUNTBLANK(B70:K70)</f>
        <v>6</v>
      </c>
      <c r="N70" s="4">
        <f>L70/(M70*2)</f>
        <v>0.66666666666666663</v>
      </c>
    </row>
    <row r="71" spans="1:14" x14ac:dyDescent="0.25">
      <c r="A71" s="5" t="s">
        <v>23</v>
      </c>
      <c r="B71" s="5">
        <v>2</v>
      </c>
      <c r="C71" s="5">
        <v>0</v>
      </c>
      <c r="D71" s="5"/>
      <c r="E71" s="5"/>
      <c r="F71" s="5"/>
      <c r="G71" s="5"/>
      <c r="H71" s="5"/>
      <c r="I71" s="5">
        <v>0</v>
      </c>
      <c r="J71" s="5">
        <v>0</v>
      </c>
      <c r="K71" s="5">
        <v>1</v>
      </c>
      <c r="L71" s="5">
        <f>SUM(B71:K71)</f>
        <v>3</v>
      </c>
      <c r="M71" s="5">
        <f>10-COUNTBLANK(B71:K71)</f>
        <v>5</v>
      </c>
      <c r="N71" s="4">
        <f>L71/(M71*2)</f>
        <v>0.3</v>
      </c>
    </row>
    <row r="72" spans="1:14" ht="30" x14ac:dyDescent="0.25">
      <c r="A72" s="6" t="s">
        <v>22</v>
      </c>
      <c r="B72" s="5">
        <v>2</v>
      </c>
      <c r="C72" s="5">
        <v>2</v>
      </c>
      <c r="D72" s="5">
        <v>2</v>
      </c>
      <c r="E72" s="5">
        <v>2</v>
      </c>
      <c r="F72" s="5">
        <v>1</v>
      </c>
      <c r="G72" s="5"/>
      <c r="H72" s="5"/>
      <c r="I72" s="5">
        <v>1</v>
      </c>
      <c r="J72" s="5">
        <v>1</v>
      </c>
      <c r="K72" s="5">
        <v>2</v>
      </c>
      <c r="L72" s="5">
        <f>SUM(B72:K72)</f>
        <v>13</v>
      </c>
      <c r="M72" s="5">
        <f>10-COUNTBLANK(B72:K72)</f>
        <v>8</v>
      </c>
      <c r="N72" s="4">
        <f>L72/(M72*2)</f>
        <v>0.8125</v>
      </c>
    </row>
    <row r="73" spans="1:14" ht="30" x14ac:dyDescent="0.25">
      <c r="A73" s="6" t="s">
        <v>21</v>
      </c>
      <c r="B73" s="5">
        <v>2</v>
      </c>
      <c r="C73" s="5">
        <v>1</v>
      </c>
      <c r="D73" s="5">
        <v>1</v>
      </c>
      <c r="E73" s="5"/>
      <c r="F73" s="5"/>
      <c r="G73" s="5"/>
      <c r="H73" s="5"/>
      <c r="I73" s="5">
        <v>2</v>
      </c>
      <c r="J73" s="5">
        <v>0</v>
      </c>
      <c r="K73" s="5">
        <v>1</v>
      </c>
      <c r="L73" s="5">
        <f>SUM(B73:K73)</f>
        <v>7</v>
      </c>
      <c r="M73" s="5">
        <f>10-COUNTBLANK(B73:K73)</f>
        <v>6</v>
      </c>
      <c r="N73" s="4">
        <f>L73/(M73*2)</f>
        <v>0.58333333333333337</v>
      </c>
    </row>
    <row r="74" spans="1:14" ht="30" x14ac:dyDescent="0.25">
      <c r="A74" s="6" t="s">
        <v>20</v>
      </c>
      <c r="B74" s="5">
        <v>2</v>
      </c>
      <c r="C74" s="5">
        <v>2</v>
      </c>
      <c r="D74" s="5">
        <v>1</v>
      </c>
      <c r="E74" s="5">
        <v>1</v>
      </c>
      <c r="F74" s="5"/>
      <c r="G74" s="5"/>
      <c r="H74" s="5">
        <v>1</v>
      </c>
      <c r="I74" s="5">
        <v>2</v>
      </c>
      <c r="J74" s="5">
        <v>1</v>
      </c>
      <c r="K74" s="5">
        <v>2</v>
      </c>
      <c r="L74" s="5">
        <f>SUM(B74:K74)</f>
        <v>12</v>
      </c>
      <c r="M74" s="5">
        <f>10-COUNTBLANK(B74:K74)</f>
        <v>8</v>
      </c>
      <c r="N74" s="4">
        <f>L74/(M74*2)</f>
        <v>0.75</v>
      </c>
    </row>
    <row r="75" spans="1:14" x14ac:dyDescent="0.25">
      <c r="A75" s="5" t="s">
        <v>19</v>
      </c>
      <c r="B75" s="5">
        <v>2</v>
      </c>
      <c r="C75" s="5">
        <v>1</v>
      </c>
      <c r="D75" s="5">
        <v>2</v>
      </c>
      <c r="E75" s="5">
        <v>2</v>
      </c>
      <c r="F75" s="5"/>
      <c r="G75" s="5"/>
      <c r="H75" s="5">
        <v>1</v>
      </c>
      <c r="I75" s="5">
        <v>1</v>
      </c>
      <c r="J75" s="5">
        <v>1</v>
      </c>
      <c r="K75" s="5">
        <v>2</v>
      </c>
      <c r="L75" s="5">
        <f>SUM(B75:K75)</f>
        <v>12</v>
      </c>
      <c r="M75" s="5">
        <f>10-COUNTBLANK(B75:K75)</f>
        <v>8</v>
      </c>
      <c r="N75" s="4">
        <f>L75/(M75*2)</f>
        <v>0.75</v>
      </c>
    </row>
    <row r="76" spans="1:14" ht="30" x14ac:dyDescent="0.25">
      <c r="A76" s="6" t="s">
        <v>18</v>
      </c>
      <c r="B76" s="5">
        <v>2</v>
      </c>
      <c r="C76" s="5">
        <v>1</v>
      </c>
      <c r="D76" s="5"/>
      <c r="E76" s="5">
        <v>2</v>
      </c>
      <c r="F76" s="5"/>
      <c r="G76" s="5"/>
      <c r="H76" s="5"/>
      <c r="I76" s="5">
        <v>0</v>
      </c>
      <c r="J76" s="5">
        <v>1</v>
      </c>
      <c r="K76" s="5">
        <v>1</v>
      </c>
      <c r="L76" s="5">
        <f>SUM(B76:K76)</f>
        <v>7</v>
      </c>
      <c r="M76" s="5">
        <f>10-COUNTBLANK(B76:K76)</f>
        <v>6</v>
      </c>
      <c r="N76" s="4">
        <f>L76/(M76*2)</f>
        <v>0.58333333333333337</v>
      </c>
    </row>
    <row r="77" spans="1:14" ht="30" x14ac:dyDescent="0.25">
      <c r="A77" s="6" t="s">
        <v>17</v>
      </c>
      <c r="B77" s="5">
        <v>1</v>
      </c>
      <c r="C77" s="5">
        <v>1</v>
      </c>
      <c r="D77" s="5"/>
      <c r="E77" s="5"/>
      <c r="F77" s="5"/>
      <c r="G77" s="5"/>
      <c r="H77" s="5">
        <v>2</v>
      </c>
      <c r="I77" s="5">
        <v>2</v>
      </c>
      <c r="J77" s="5">
        <v>1</v>
      </c>
      <c r="K77" s="5">
        <v>2</v>
      </c>
      <c r="L77" s="5">
        <f>SUM(B77:K77)</f>
        <v>9</v>
      </c>
      <c r="M77" s="5">
        <f>10-COUNTBLANK(B77:K77)</f>
        <v>6</v>
      </c>
      <c r="N77" s="4">
        <f>L77/(M77*2)</f>
        <v>0.75</v>
      </c>
    </row>
    <row r="78" spans="1:14" ht="30" x14ac:dyDescent="0.25">
      <c r="A78" s="6" t="s">
        <v>16</v>
      </c>
      <c r="B78" s="5">
        <v>2</v>
      </c>
      <c r="C78" s="5">
        <v>1</v>
      </c>
      <c r="D78" s="5">
        <v>1</v>
      </c>
      <c r="E78" s="5"/>
      <c r="F78" s="5"/>
      <c r="G78" s="5"/>
      <c r="H78" s="5">
        <v>1</v>
      </c>
      <c r="I78" s="5">
        <v>2</v>
      </c>
      <c r="J78" s="5">
        <v>2</v>
      </c>
      <c r="K78" s="5">
        <v>1</v>
      </c>
      <c r="L78" s="5">
        <f>SUM(B78:K78)</f>
        <v>10</v>
      </c>
      <c r="M78" s="5">
        <f>10-COUNTBLANK(B78:K78)</f>
        <v>7</v>
      </c>
      <c r="N78" s="4">
        <f>L78/(M78*2)</f>
        <v>0.7142857142857143</v>
      </c>
    </row>
    <row r="79" spans="1:14" ht="30" x14ac:dyDescent="0.25">
      <c r="A79" s="6" t="s">
        <v>15</v>
      </c>
      <c r="B79" s="5">
        <v>1</v>
      </c>
      <c r="C79" s="5">
        <v>1</v>
      </c>
      <c r="D79" s="5">
        <v>2</v>
      </c>
      <c r="E79" s="5"/>
      <c r="F79" s="5">
        <v>1</v>
      </c>
      <c r="G79" s="5"/>
      <c r="H79" s="5">
        <v>2</v>
      </c>
      <c r="I79" s="5">
        <v>2</v>
      </c>
      <c r="J79" s="5">
        <v>2</v>
      </c>
      <c r="K79" s="5">
        <v>2</v>
      </c>
      <c r="L79" s="5">
        <f>SUM(B79:K79)</f>
        <v>13</v>
      </c>
      <c r="M79" s="5">
        <f>10-COUNTBLANK(B79:K79)</f>
        <v>8</v>
      </c>
      <c r="N79" s="4">
        <f>L79/(M79*2)</f>
        <v>0.8125</v>
      </c>
    </row>
    <row r="80" spans="1:14" s="1" customFormat="1" ht="45" x14ac:dyDescent="0.25">
      <c r="A80" s="7" t="s">
        <v>14</v>
      </c>
      <c r="B80" s="3">
        <v>0</v>
      </c>
      <c r="C80" s="3">
        <v>1</v>
      </c>
      <c r="D80" s="3">
        <v>2</v>
      </c>
      <c r="E80" s="3"/>
      <c r="F80" s="3"/>
      <c r="G80" s="3"/>
      <c r="H80" s="3"/>
      <c r="I80" s="3">
        <v>0</v>
      </c>
      <c r="J80" s="3">
        <v>0</v>
      </c>
      <c r="K80" s="3">
        <v>0</v>
      </c>
      <c r="L80" s="3">
        <f>SUM(B80:K80)</f>
        <v>3</v>
      </c>
      <c r="M80" s="3">
        <f>10-COUNTBLANK(B80:K80)</f>
        <v>6</v>
      </c>
      <c r="N80" s="2">
        <f>L80/(M80*2)</f>
        <v>0.25</v>
      </c>
    </row>
    <row r="81" spans="1:14" s="1" customFormat="1" ht="30" x14ac:dyDescent="0.25">
      <c r="A81" s="7" t="s">
        <v>13</v>
      </c>
      <c r="B81" s="3">
        <v>2</v>
      </c>
      <c r="C81" s="3"/>
      <c r="D81" s="3">
        <v>1</v>
      </c>
      <c r="E81" s="3"/>
      <c r="F81" s="3"/>
      <c r="G81" s="3"/>
      <c r="H81" s="3"/>
      <c r="I81" s="3">
        <v>2</v>
      </c>
      <c r="J81" s="3">
        <v>1</v>
      </c>
      <c r="K81" s="3">
        <v>0</v>
      </c>
      <c r="L81" s="3">
        <f>SUM(B81:K81)</f>
        <v>6</v>
      </c>
      <c r="M81" s="3">
        <f>10-COUNTBLANK(B81:K81)</f>
        <v>5</v>
      </c>
      <c r="N81" s="2">
        <f>L81/(M81*2)</f>
        <v>0.6</v>
      </c>
    </row>
    <row r="82" spans="1:14" s="1" customFormat="1" ht="30" x14ac:dyDescent="0.25">
      <c r="A82" s="7" t="s">
        <v>12</v>
      </c>
      <c r="B82" s="3">
        <v>2</v>
      </c>
      <c r="C82" s="3">
        <v>1</v>
      </c>
      <c r="D82" s="3"/>
      <c r="E82" s="3"/>
      <c r="F82" s="3"/>
      <c r="G82" s="3"/>
      <c r="H82" s="3"/>
      <c r="I82" s="3">
        <v>2</v>
      </c>
      <c r="J82" s="3">
        <v>1</v>
      </c>
      <c r="K82" s="3">
        <v>0</v>
      </c>
      <c r="L82" s="3">
        <f>SUM(B82:K82)</f>
        <v>6</v>
      </c>
      <c r="M82" s="3">
        <f>10-COUNTBLANK(B82:K82)</f>
        <v>5</v>
      </c>
      <c r="N82" s="2">
        <f>L82/(M82*2)</f>
        <v>0.6</v>
      </c>
    </row>
    <row r="83" spans="1:14" x14ac:dyDescent="0.25">
      <c r="A83" s="5" t="s">
        <v>11</v>
      </c>
      <c r="B83" s="5">
        <v>2</v>
      </c>
      <c r="C83" s="5">
        <v>1</v>
      </c>
      <c r="D83" s="5"/>
      <c r="E83" s="5"/>
      <c r="F83" s="5">
        <v>1</v>
      </c>
      <c r="G83" s="5">
        <v>2</v>
      </c>
      <c r="H83" s="5"/>
      <c r="I83" s="5">
        <v>1</v>
      </c>
      <c r="J83" s="5">
        <v>1</v>
      </c>
      <c r="K83" s="5">
        <v>1</v>
      </c>
      <c r="L83" s="5">
        <f>SUM(B83:K83)</f>
        <v>9</v>
      </c>
      <c r="M83" s="5">
        <f>10-COUNTBLANK(B83:K83)</f>
        <v>7</v>
      </c>
      <c r="N83" s="4">
        <f>L83/(M83*2)</f>
        <v>0.6428571428571429</v>
      </c>
    </row>
    <row r="84" spans="1:14" s="1" customFormat="1" ht="45" x14ac:dyDescent="0.25">
      <c r="A84" s="7" t="s">
        <v>10</v>
      </c>
      <c r="B84" s="3">
        <v>2</v>
      </c>
      <c r="C84" s="3">
        <v>1</v>
      </c>
      <c r="D84" s="3"/>
      <c r="E84" s="3"/>
      <c r="F84" s="3"/>
      <c r="G84" s="3"/>
      <c r="H84" s="3">
        <v>1</v>
      </c>
      <c r="I84" s="3">
        <v>0</v>
      </c>
      <c r="J84" s="3">
        <v>0</v>
      </c>
      <c r="K84" s="3">
        <v>0</v>
      </c>
      <c r="L84" s="3">
        <f>SUM(B84:K84)</f>
        <v>4</v>
      </c>
      <c r="M84" s="3">
        <f>10-COUNTBLANK(B84:K84)</f>
        <v>6</v>
      </c>
      <c r="N84" s="2">
        <f>L84/(M84*2)</f>
        <v>0.33333333333333331</v>
      </c>
    </row>
    <row r="85" spans="1:14" ht="30" x14ac:dyDescent="0.25">
      <c r="A85" s="6" t="s">
        <v>9</v>
      </c>
      <c r="B85" s="5">
        <v>2</v>
      </c>
      <c r="C85" s="5">
        <v>2</v>
      </c>
      <c r="D85" s="5">
        <v>0</v>
      </c>
      <c r="E85" s="5">
        <v>1</v>
      </c>
      <c r="F85" s="5"/>
      <c r="G85" s="5"/>
      <c r="H85" s="5">
        <v>1</v>
      </c>
      <c r="I85" s="5">
        <v>2</v>
      </c>
      <c r="J85" s="5">
        <v>2</v>
      </c>
      <c r="K85" s="5">
        <v>1</v>
      </c>
      <c r="L85" s="5">
        <f>SUM(B85:K85)</f>
        <v>11</v>
      </c>
      <c r="M85" s="5">
        <f>10-COUNTBLANK(B85:K85)</f>
        <v>8</v>
      </c>
      <c r="N85" s="4">
        <f>L85/(M85*2)</f>
        <v>0.6875</v>
      </c>
    </row>
    <row r="86" spans="1:14" ht="30" x14ac:dyDescent="0.25">
      <c r="A86" s="6" t="s">
        <v>8</v>
      </c>
      <c r="B86" s="5">
        <v>1</v>
      </c>
      <c r="C86" s="5">
        <v>1</v>
      </c>
      <c r="D86" s="5">
        <v>0</v>
      </c>
      <c r="E86" s="5">
        <v>1</v>
      </c>
      <c r="F86" s="5"/>
      <c r="G86" s="5"/>
      <c r="H86" s="5"/>
      <c r="I86" s="5">
        <v>2</v>
      </c>
      <c r="J86" s="5">
        <v>2</v>
      </c>
      <c r="K86" s="5">
        <v>2</v>
      </c>
      <c r="L86" s="5">
        <f>SUM(B86:K86)</f>
        <v>9</v>
      </c>
      <c r="M86" s="5">
        <f>10-COUNTBLANK(B86:K86)</f>
        <v>7</v>
      </c>
      <c r="N86" s="4">
        <f>L86/(M86*2)</f>
        <v>0.6428571428571429</v>
      </c>
    </row>
    <row r="87" spans="1:14" ht="30" x14ac:dyDescent="0.25">
      <c r="A87" s="6" t="s">
        <v>7</v>
      </c>
      <c r="B87" s="5">
        <v>2</v>
      </c>
      <c r="C87" s="5">
        <v>2</v>
      </c>
      <c r="D87" s="5">
        <v>1</v>
      </c>
      <c r="E87" s="5">
        <v>1</v>
      </c>
      <c r="F87" s="5"/>
      <c r="G87" s="5"/>
      <c r="H87" s="5"/>
      <c r="I87" s="5">
        <v>2</v>
      </c>
      <c r="J87" s="5">
        <v>1</v>
      </c>
      <c r="K87" s="5">
        <v>1</v>
      </c>
      <c r="L87" s="5">
        <f>SUM(B87:K87)</f>
        <v>10</v>
      </c>
      <c r="M87" s="5">
        <f>10-COUNTBLANK(B87:K87)</f>
        <v>7</v>
      </c>
      <c r="N87" s="4">
        <f>L87/(M87*2)</f>
        <v>0.7142857142857143</v>
      </c>
    </row>
    <row r="88" spans="1:14" ht="30" x14ac:dyDescent="0.25">
      <c r="A88" s="6" t="s">
        <v>6</v>
      </c>
      <c r="B88" s="5">
        <v>2</v>
      </c>
      <c r="C88" s="5">
        <v>1</v>
      </c>
      <c r="D88" s="5">
        <v>2</v>
      </c>
      <c r="E88" s="5">
        <v>2</v>
      </c>
      <c r="F88" s="5"/>
      <c r="G88" s="5"/>
      <c r="H88" s="5"/>
      <c r="I88" s="5">
        <v>2</v>
      </c>
      <c r="J88" s="5">
        <v>2</v>
      </c>
      <c r="K88" s="5">
        <v>1</v>
      </c>
      <c r="L88" s="5">
        <f>SUM(B88:K88)</f>
        <v>12</v>
      </c>
      <c r="M88" s="5">
        <f>10-COUNTBLANK(B88:K88)</f>
        <v>7</v>
      </c>
      <c r="N88" s="4">
        <f>L88/(M88*2)</f>
        <v>0.8571428571428571</v>
      </c>
    </row>
    <row r="89" spans="1:14" ht="30" x14ac:dyDescent="0.25">
      <c r="A89" s="6" t="s">
        <v>5</v>
      </c>
      <c r="B89" s="5">
        <v>2</v>
      </c>
      <c r="C89" s="5">
        <v>1</v>
      </c>
      <c r="D89" s="5">
        <v>2</v>
      </c>
      <c r="E89" s="5">
        <v>1</v>
      </c>
      <c r="F89" s="5">
        <v>1</v>
      </c>
      <c r="G89" s="5">
        <v>1</v>
      </c>
      <c r="H89" s="5"/>
      <c r="I89" s="5">
        <v>2</v>
      </c>
      <c r="J89" s="5">
        <v>1</v>
      </c>
      <c r="K89" s="5">
        <v>1</v>
      </c>
      <c r="L89" s="5">
        <f>SUM(B89:K89)</f>
        <v>12</v>
      </c>
      <c r="M89" s="5">
        <f>10-COUNTBLANK(B89:K89)</f>
        <v>9</v>
      </c>
      <c r="N89" s="4">
        <f>L89/(M89*2)</f>
        <v>0.66666666666666663</v>
      </c>
    </row>
    <row r="90" spans="1:14" ht="30" x14ac:dyDescent="0.25">
      <c r="A90" s="6" t="s">
        <v>4</v>
      </c>
      <c r="B90" s="5">
        <v>2</v>
      </c>
      <c r="C90" s="5">
        <v>1</v>
      </c>
      <c r="D90" s="5">
        <v>1</v>
      </c>
      <c r="E90" s="5">
        <v>2</v>
      </c>
      <c r="F90" s="5"/>
      <c r="G90" s="5"/>
      <c r="H90" s="5"/>
      <c r="I90" s="5">
        <v>2</v>
      </c>
      <c r="J90" s="5">
        <v>1</v>
      </c>
      <c r="K90" s="5">
        <v>1</v>
      </c>
      <c r="L90" s="5">
        <f>SUM(B90:K90)</f>
        <v>10</v>
      </c>
      <c r="M90" s="5">
        <f>10-COUNTBLANK(B90:K90)</f>
        <v>7</v>
      </c>
      <c r="N90" s="4">
        <f>L90/(M90*2)</f>
        <v>0.7142857142857143</v>
      </c>
    </row>
    <row r="91" spans="1:14" ht="30" x14ac:dyDescent="0.25">
      <c r="A91" s="6" t="s">
        <v>3</v>
      </c>
      <c r="B91" s="5">
        <v>2</v>
      </c>
      <c r="C91" s="5">
        <v>1</v>
      </c>
      <c r="D91" s="5">
        <v>1</v>
      </c>
      <c r="E91" s="5">
        <v>1</v>
      </c>
      <c r="F91" s="5">
        <v>2</v>
      </c>
      <c r="G91" s="5">
        <v>2</v>
      </c>
      <c r="H91" s="5"/>
      <c r="I91" s="5">
        <v>2</v>
      </c>
      <c r="J91" s="5">
        <v>2</v>
      </c>
      <c r="K91" s="5">
        <v>1</v>
      </c>
      <c r="L91" s="5">
        <f>SUM(B91:K91)</f>
        <v>14</v>
      </c>
      <c r="M91" s="5">
        <f>10-COUNTBLANK(B91:K91)</f>
        <v>9</v>
      </c>
      <c r="N91" s="4">
        <f>L91/(M91*2)</f>
        <v>0.77777777777777779</v>
      </c>
    </row>
    <row r="92" spans="1:14" s="1" customFormat="1" ht="30" x14ac:dyDescent="0.25">
      <c r="A92" s="7" t="s">
        <v>2</v>
      </c>
      <c r="B92" s="3">
        <v>1</v>
      </c>
      <c r="C92" s="3">
        <v>0</v>
      </c>
      <c r="D92" s="3">
        <v>2</v>
      </c>
      <c r="E92" s="3"/>
      <c r="F92" s="3"/>
      <c r="G92" s="3"/>
      <c r="H92" s="3">
        <v>2</v>
      </c>
      <c r="I92" s="3">
        <v>2</v>
      </c>
      <c r="J92" s="3">
        <v>1</v>
      </c>
      <c r="K92" s="3">
        <v>1</v>
      </c>
      <c r="L92" s="3">
        <f>SUM(B92:K92)</f>
        <v>9</v>
      </c>
      <c r="M92" s="3">
        <f>10-COUNTBLANK(B92:K92)</f>
        <v>7</v>
      </c>
      <c r="N92" s="2">
        <f>L92/(M92*2)</f>
        <v>0.6428571428571429</v>
      </c>
    </row>
    <row r="93" spans="1:14" ht="30" x14ac:dyDescent="0.25">
      <c r="A93" s="6" t="s">
        <v>1</v>
      </c>
      <c r="B93" s="5">
        <v>2</v>
      </c>
      <c r="C93" s="5">
        <v>1</v>
      </c>
      <c r="D93" s="5">
        <v>2</v>
      </c>
      <c r="E93" s="5">
        <v>0</v>
      </c>
      <c r="F93" s="5"/>
      <c r="G93" s="5"/>
      <c r="H93" s="5">
        <v>1</v>
      </c>
      <c r="I93" s="5">
        <v>1</v>
      </c>
      <c r="J93" s="5">
        <v>1</v>
      </c>
      <c r="K93" s="5">
        <v>1</v>
      </c>
      <c r="L93" s="5">
        <f>SUM(B93:K93)</f>
        <v>9</v>
      </c>
      <c r="M93" s="5">
        <f>10-COUNTBLANK(B93:K93)</f>
        <v>8</v>
      </c>
      <c r="N93" s="4">
        <f>L93/(M93*2)</f>
        <v>0.5625</v>
      </c>
    </row>
    <row r="94" spans="1:14" s="1" customFormat="1" x14ac:dyDescent="0.25">
      <c r="A94" s="3" t="s">
        <v>0</v>
      </c>
      <c r="B94" s="3">
        <v>2</v>
      </c>
      <c r="C94" s="3"/>
      <c r="D94" s="3"/>
      <c r="E94" s="3"/>
      <c r="F94" s="3"/>
      <c r="G94" s="3"/>
      <c r="H94" s="3"/>
      <c r="I94" s="3"/>
      <c r="J94" s="3">
        <v>0</v>
      </c>
      <c r="K94" s="3">
        <v>0</v>
      </c>
      <c r="L94" s="3">
        <f>SUM(B94:K94)</f>
        <v>2</v>
      </c>
      <c r="M94" s="3">
        <f>10-COUNTBLANK(B94:K94)</f>
        <v>3</v>
      </c>
      <c r="N94" s="2">
        <f>L94/(M94*2)</f>
        <v>0.33333333333333331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0538552057B449BFB4320D947BC4E" ma:contentTypeVersion="16" ma:contentTypeDescription="Create a new document." ma:contentTypeScope="" ma:versionID="803ac368efcb997dbd555c2d54a9ae51">
  <xsd:schema xmlns:xsd="http://www.w3.org/2001/XMLSchema" xmlns:xs="http://www.w3.org/2001/XMLSchema" xmlns:p="http://schemas.microsoft.com/office/2006/metadata/properties" xmlns:ns3="671e7633-2669-43a6-907b-a417397ea302" xmlns:ns4="a6ec91cb-6e7f-4a5f-9f4d-118877b30677" targetNamespace="http://schemas.microsoft.com/office/2006/metadata/properties" ma:root="true" ma:fieldsID="c542e71770bb7f1d3cb8c9866a2363ca" ns3:_="" ns4:_="">
    <xsd:import namespace="671e7633-2669-43a6-907b-a417397ea302"/>
    <xsd:import namespace="a6ec91cb-6e7f-4a5f-9f4d-118877b3067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e7633-2669-43a6-907b-a417397ea30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c91cb-6e7f-4a5f-9f4d-118877b3067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1e7633-2669-43a6-907b-a417397ea302" xsi:nil="true"/>
  </documentManagement>
</p:properties>
</file>

<file path=customXml/itemProps1.xml><?xml version="1.0" encoding="utf-8"?>
<ds:datastoreItem xmlns:ds="http://schemas.openxmlformats.org/officeDocument/2006/customXml" ds:itemID="{41C427EF-700E-4B11-9FD0-30125573C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e7633-2669-43a6-907b-a417397ea302"/>
    <ds:schemaRef ds:uri="a6ec91cb-6e7f-4a5f-9f4d-118877b3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F25B86-A104-4B19-8885-8C23635990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5A8FA8-A2E3-4D53-9910-F8895A02A2E7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671e7633-2669-43a6-907b-a417397ea302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a6ec91cb-6e7f-4a5f-9f4d-118877b3067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Brilhante</dc:creator>
  <cp:lastModifiedBy>Marina Brilhante</cp:lastModifiedBy>
  <dcterms:created xsi:type="dcterms:W3CDTF">2026-03-05T09:55:03Z</dcterms:created>
  <dcterms:modified xsi:type="dcterms:W3CDTF">2026-03-05T09:56:06Z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0x01010094F0538552057B449BFB4320D947BC4E</vt:lpwstr>
  </property>
</Properties>
</file>